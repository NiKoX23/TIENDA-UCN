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nicol\OneDrive\Documentos\UCN\2026 Semestre 2\Pr. Desarrollo Ágil Escalado\TIENDA-UCN\docs\"/>
    </mc:Choice>
  </mc:AlternateContent>
  <xr:revisionPtr revIDLastSave="0" documentId="13_ncr:1_{9B7F5233-0884-4622-97A7-31CD663A587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ventario" sheetId="1" r:id="rId1"/>
    <sheet name="Registro de ventas" sheetId="2" r:id="rId2"/>
    <sheet name="CONTROL TAC" sheetId="3" r:id="rId3"/>
  </sheets>
  <externalReferences>
    <externalReference r:id="rId4"/>
  </externalReferences>
  <definedNames>
    <definedName name="ProductosLista">OFFSET([1]Inventario!$Q$3,0,0,COUNTA([1]Inventario!$B$3:$B$61),1)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3" i="2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3" i="3"/>
</calcChain>
</file>

<file path=xl/sharedStrings.xml><?xml version="1.0" encoding="utf-8"?>
<sst xmlns="http://schemas.openxmlformats.org/spreadsheetml/2006/main" count="344" uniqueCount="85">
  <si>
    <t>POLERON</t>
  </si>
  <si>
    <t>NEGRO</t>
  </si>
  <si>
    <t>S</t>
  </si>
  <si>
    <t>M</t>
  </si>
  <si>
    <t>L</t>
  </si>
  <si>
    <t>XL</t>
  </si>
  <si>
    <t>XXL</t>
  </si>
  <si>
    <t>AZUL</t>
  </si>
  <si>
    <t>LAPIZ DE COBRE</t>
  </si>
  <si>
    <t>LIBRETAS</t>
  </si>
  <si>
    <t>TOTE BAG</t>
  </si>
  <si>
    <t>PELUCHE</t>
  </si>
  <si>
    <t>ROSA</t>
  </si>
  <si>
    <t>LLAVERO TORTUGA</t>
  </si>
  <si>
    <t>VERDE</t>
  </si>
  <si>
    <t>AMARILLO</t>
  </si>
  <si>
    <t>LLAVERO ESTRELLA</t>
  </si>
  <si>
    <t>LLAVERO CANGREJO</t>
  </si>
  <si>
    <t>ROJO</t>
  </si>
  <si>
    <t>LLAVERO SOLDEMAR</t>
  </si>
  <si>
    <t>LLAVERO PEZ BALLESTA</t>
  </si>
  <si>
    <t>LLAVERO GAVIOTA</t>
  </si>
  <si>
    <t>LLAVERO CACHALOTE</t>
  </si>
  <si>
    <t>LLAVERO CANGREJO ERMITAÑO</t>
  </si>
  <si>
    <t>LLAVERO PINGÜINO</t>
  </si>
  <si>
    <t>LLAVERO TIBURON</t>
  </si>
  <si>
    <t>TALLA</t>
  </si>
  <si>
    <t>COLOR</t>
  </si>
  <si>
    <t>PRODUCTO</t>
  </si>
  <si>
    <t>PRECIO IVA</t>
  </si>
  <si>
    <t>PRECIO TAC</t>
  </si>
  <si>
    <t>STOCK ACTUAL</t>
  </si>
  <si>
    <t>SKU</t>
  </si>
  <si>
    <t>POL-TN-S</t>
  </si>
  <si>
    <t>POL-TN-M</t>
  </si>
  <si>
    <t>POL-TN-L</t>
  </si>
  <si>
    <t>POL-TN-XL</t>
  </si>
  <si>
    <t>POL-TN-XXL</t>
  </si>
  <si>
    <t>POL-TA-S</t>
  </si>
  <si>
    <t>POL-TA-M</t>
  </si>
  <si>
    <t>POL-TA-L</t>
  </si>
  <si>
    <t>POL-TA-XL</t>
  </si>
  <si>
    <t>POL-TA-XXL</t>
  </si>
  <si>
    <t>LAPIZ-COBRE-UNI</t>
  </si>
  <si>
    <t>LIBRETA-UCN-UNI</t>
  </si>
  <si>
    <t>TOTE-BAG-UCN-UNI</t>
  </si>
  <si>
    <t>LLAVERO-UCENIN-UNI</t>
  </si>
  <si>
    <t>PELUCHE-UCN-ROSA</t>
  </si>
  <si>
    <t>TORTUGA-VERDE</t>
  </si>
  <si>
    <t>TORTUGA-AMARILLO</t>
  </si>
  <si>
    <t>ESTRELLA-AMARILLO</t>
  </si>
  <si>
    <t>ESTRELLA-ROSA</t>
  </si>
  <si>
    <t>CANGREJO-ROJO</t>
  </si>
  <si>
    <t>SOLDEMAR-NEGRO</t>
  </si>
  <si>
    <t>PEZ-BALLESTA-NEGRO</t>
  </si>
  <si>
    <t>GAVIOTA-NEGRO</t>
  </si>
  <si>
    <t>CACHALOTE-NEGRO</t>
  </si>
  <si>
    <t>CANGREJO-ERMITANO-NEGRO</t>
  </si>
  <si>
    <t>PINGUINO-NEGRO</t>
  </si>
  <si>
    <t>TIBURON-NEGRO</t>
  </si>
  <si>
    <t>INVENTARIO TIENDA UCN</t>
  </si>
  <si>
    <t>ID</t>
  </si>
  <si>
    <t>FECHA</t>
  </si>
  <si>
    <t>CANTIDAD</t>
  </si>
  <si>
    <t>TOTAL</t>
  </si>
  <si>
    <t>PRODUCTO (SKU)</t>
  </si>
  <si>
    <t>LLAVERO UCENIN</t>
  </si>
  <si>
    <t>REGISTRO DE VENTAS</t>
  </si>
  <si>
    <t>N° TAC</t>
  </si>
  <si>
    <t>CONTROL DOCUMENTOS TAC</t>
  </si>
  <si>
    <t>FIRMA COMPRADOR</t>
  </si>
  <si>
    <t>FIRMA VENDEDOR</t>
  </si>
  <si>
    <t>RESPONSABLE</t>
  </si>
  <si>
    <t>Firmado</t>
  </si>
  <si>
    <t>Pendiente</t>
  </si>
  <si>
    <t>PAULA CAVIERES</t>
  </si>
  <si>
    <t>CAROLINA SALINAS</t>
  </si>
  <si>
    <t>CARLOS SOZA</t>
  </si>
  <si>
    <t>GABRIELA LLEWELLYN</t>
  </si>
  <si>
    <t>ALEJANDRA VEGA</t>
  </si>
  <si>
    <t>LUIS LANAS</t>
  </si>
  <si>
    <t>CRISTINA MARAMBIO</t>
  </si>
  <si>
    <t>JOHANNA ROJAS</t>
  </si>
  <si>
    <t>CLAUDIA ZULOAGA</t>
  </si>
  <si>
    <t>MONICA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</si>
</sst>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charset val="1"/>
    </font>
    <font>
      <sz val="11"/>
      <name val="Calibri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  <bgColor rgb="FFE7E6E6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C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0" fontId="0" fillId="0" borderId="1" xfId="0" applyBorder="1"/>
    <xf numFmtId="0" fontId="2" fillId="8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3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</cellXfs>
  <cellStyles count="1">
    <cellStyle name="Normal" xfId="0" builtinId="0"/>
  </cellStyles>
  <dxfs count="15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E2D1F0"/>
        </patternFill>
      </fill>
    </dxf>
    <dxf>
      <fill>
        <patternFill>
          <bgColor rgb="FFFFC7CE"/>
        </patternFill>
      </fill>
    </dxf>
    <dxf>
      <fill>
        <patternFill>
          <bgColor rgb="FFE2D1F0"/>
        </patternFill>
      </fill>
    </dxf>
    <dxf>
      <fill>
        <patternFill>
          <bgColor rgb="FFE2D1F0"/>
        </patternFill>
      </fill>
    </dxf>
    <dxf>
      <fill>
        <patternFill>
          <bgColor rgb="FFE2D1F0"/>
        </patternFill>
      </fill>
    </dxf>
    <dxf>
      <fill>
        <patternFill>
          <bgColor rgb="FFFFC7CE"/>
        </patternFill>
      </fill>
    </dxf>
    <dxf>
      <font>
        <b/>
        <color rgb="FF595959"/>
      </font>
      <fill>
        <patternFill>
          <bgColor rgb="FFE7E6E6"/>
        </patternFill>
      </fill>
    </dxf>
    <dxf>
      <font>
        <b/>
        <color rgb="FF1F4E79"/>
      </font>
      <fill>
        <patternFill>
          <bgColor rgb="FFBDD7E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Escritorio/Inventario_actualizado.xlsx" TargetMode="External"/><Relationship Id="rId2" Type="http://schemas.openxmlformats.org/officeDocument/2006/relationships/externalLinkPath" Target="file:///C:\Users\nicol\OneDrive\Escritorio\Inventario_actualizado.xlsx" TargetMode="External"/><Relationship Id="rId1" Type="http://schemas.openxmlformats.org/officeDocument/2006/relationships/externalLinkPath" Target="/Users/nicol/OneDrive/Escritorio/Inventario_actualiz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entario"/>
      <sheetName val="Registro Ventas"/>
      <sheetName val="Control TAC"/>
      <sheetName val="Dashboard"/>
      <sheetName val="Instrucciones"/>
    </sheetNames>
    <sheetDataSet>
      <sheetData sheetId="0">
        <row r="3">
          <cell r="B3" t="str">
            <v>POLERON</v>
          </cell>
          <cell r="Q3" t="str">
            <v>POLERON NEGRO S</v>
          </cell>
        </row>
        <row r="4">
          <cell r="B4" t="str">
            <v>POLERON</v>
          </cell>
        </row>
        <row r="5">
          <cell r="B5" t="str">
            <v>POLERON</v>
          </cell>
        </row>
        <row r="6">
          <cell r="B6" t="str">
            <v>POLERON</v>
          </cell>
        </row>
        <row r="7">
          <cell r="B7" t="str">
            <v>POLERON</v>
          </cell>
        </row>
        <row r="8">
          <cell r="B8" t="str">
            <v>POLERON</v>
          </cell>
        </row>
        <row r="9">
          <cell r="B9" t="str">
            <v>POLERON</v>
          </cell>
        </row>
        <row r="10">
          <cell r="B10" t="str">
            <v>POLERON</v>
          </cell>
        </row>
        <row r="11">
          <cell r="B11" t="str">
            <v>POLERON</v>
          </cell>
        </row>
        <row r="12">
          <cell r="B12" t="str">
            <v>POLERON</v>
          </cell>
        </row>
        <row r="13">
          <cell r="B13" t="str">
            <v>POLERON (HISTORICO)</v>
          </cell>
        </row>
        <row r="14">
          <cell r="B14" t="str">
            <v>LAPIZ DE COBRE</v>
          </cell>
        </row>
        <row r="15">
          <cell r="B15" t="str">
            <v>LIBRETAS</v>
          </cell>
        </row>
        <row r="16">
          <cell r="B16" t="str">
            <v>TOTE BAG</v>
          </cell>
        </row>
        <row r="17">
          <cell r="B17" t="str">
            <v>LLAVERO UCEN</v>
          </cell>
        </row>
        <row r="18">
          <cell r="B18" t="str">
            <v>PELUCHE</v>
          </cell>
        </row>
        <row r="19">
          <cell r="B19" t="str">
            <v>LLAVERO MUSEO (HISTORICO)</v>
          </cell>
        </row>
        <row r="20">
          <cell r="B20" t="str">
            <v>LLAVERO TORTUGA</v>
          </cell>
        </row>
        <row r="21">
          <cell r="B21" t="str">
            <v>LLAVERO TORTUGA</v>
          </cell>
        </row>
        <row r="22">
          <cell r="B22" t="str">
            <v>LLAVERO ESTRELLA</v>
          </cell>
        </row>
        <row r="23">
          <cell r="B23" t="str">
            <v>LLAVERO ESTRELLA</v>
          </cell>
        </row>
        <row r="24">
          <cell r="B24" t="str">
            <v>LLAVERO CANGREJO</v>
          </cell>
        </row>
        <row r="25">
          <cell r="B25" t="str">
            <v>LLAVERO SOLDEMAR</v>
          </cell>
        </row>
        <row r="26">
          <cell r="B26" t="str">
            <v>LLAVERO PEZ BALLESTA</v>
          </cell>
        </row>
        <row r="27">
          <cell r="B27" t="str">
            <v>LLAVERO GAVIOTA</v>
          </cell>
        </row>
        <row r="28">
          <cell r="B28" t="str">
            <v>LLAVERO CACHALOTE</v>
          </cell>
        </row>
        <row r="29">
          <cell r="B29" t="str">
            <v>LLAVERO CANGREJO ERMITAÑO</v>
          </cell>
        </row>
        <row r="30">
          <cell r="B30" t="str">
            <v>LLAVERO PINGÜINO</v>
          </cell>
        </row>
        <row r="31">
          <cell r="B31" t="str">
            <v>LLAVERO TIBURON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499984740745262"/>
  </sheetPr>
  <dimension ref="A1:G29"/>
  <sheetViews>
    <sheetView workbookViewId="0">
      <selection activeCell="A16" sqref="A16"/>
    </sheetView>
  </sheetViews>
  <sheetFormatPr baseColWidth="10" defaultColWidth="8.88671875" defaultRowHeight="14.4" x14ac:dyDescent="0.3"/>
  <cols>
    <col min="1" max="1" width="27.6640625" bestFit="1" customWidth="1"/>
    <col min="2" max="2" width="9.6640625" bestFit="1" customWidth="1"/>
    <col min="3" max="3" width="6.21875" bestFit="1" customWidth="1"/>
    <col min="4" max="4" width="10.6640625" bestFit="1" customWidth="1"/>
    <col min="5" max="5" width="11" bestFit="1" customWidth="1"/>
    <col min="6" max="6" width="13.77734375" bestFit="1" customWidth="1"/>
    <col min="7" max="7" width="26.6640625" bestFit="1" customWidth="1"/>
  </cols>
  <sheetData>
    <row r="1" spans="1:7" x14ac:dyDescent="0.3">
      <c r="A1" s="25" t="s">
        <v>60</v>
      </c>
      <c r="B1" s="25"/>
      <c r="C1" s="25"/>
      <c r="D1" s="25"/>
      <c r="E1" s="25"/>
      <c r="F1" s="25"/>
      <c r="G1" s="25"/>
    </row>
    <row r="2" spans="1:7" x14ac:dyDescent="0.3">
      <c r="A2" s="17" t="s">
        <v>28</v>
      </c>
      <c r="B2" s="17" t="s">
        <v>27</v>
      </c>
      <c r="C2" s="17" t="s">
        <v>26</v>
      </c>
      <c r="D2" s="17" t="s">
        <v>29</v>
      </c>
      <c r="E2" s="17" t="s">
        <v>30</v>
      </c>
      <c r="F2" s="17" t="s">
        <v>31</v>
      </c>
      <c r="G2" s="17" t="s">
        <v>32</v>
      </c>
    </row>
    <row r="3" spans="1:7" x14ac:dyDescent="0.3">
      <c r="A3" s="13" t="s">
        <v>0</v>
      </c>
      <c r="B3" s="13" t="s">
        <v>1</v>
      </c>
      <c r="C3" s="18" t="s">
        <v>2</v>
      </c>
      <c r="D3" s="13">
        <v>24990</v>
      </c>
      <c r="E3" s="13">
        <v>21000</v>
      </c>
      <c r="F3" s="18">
        <v>0</v>
      </c>
      <c r="G3" s="13" t="s">
        <v>33</v>
      </c>
    </row>
    <row r="4" spans="1:7" x14ac:dyDescent="0.3">
      <c r="A4" s="19" t="s">
        <v>0</v>
      </c>
      <c r="B4" s="19" t="s">
        <v>1</v>
      </c>
      <c r="C4" s="20" t="s">
        <v>3</v>
      </c>
      <c r="D4" s="13">
        <v>24990</v>
      </c>
      <c r="E4" s="19">
        <v>21000</v>
      </c>
      <c r="F4" s="20">
        <v>2</v>
      </c>
      <c r="G4" s="13" t="s">
        <v>34</v>
      </c>
    </row>
    <row r="5" spans="1:7" x14ac:dyDescent="0.3">
      <c r="A5" s="13" t="s">
        <v>0</v>
      </c>
      <c r="B5" s="13" t="s">
        <v>1</v>
      </c>
      <c r="C5" s="18" t="s">
        <v>4</v>
      </c>
      <c r="D5" s="13">
        <v>24990</v>
      </c>
      <c r="E5" s="13">
        <v>21000</v>
      </c>
      <c r="F5" s="18">
        <v>19</v>
      </c>
      <c r="G5" s="13" t="s">
        <v>35</v>
      </c>
    </row>
    <row r="6" spans="1:7" x14ac:dyDescent="0.3">
      <c r="A6" s="19" t="s">
        <v>0</v>
      </c>
      <c r="B6" s="19" t="s">
        <v>1</v>
      </c>
      <c r="C6" s="20" t="s">
        <v>5</v>
      </c>
      <c r="D6" s="13">
        <v>24990</v>
      </c>
      <c r="E6" s="19">
        <v>21000</v>
      </c>
      <c r="F6" s="20">
        <v>6</v>
      </c>
      <c r="G6" s="13" t="s">
        <v>36</v>
      </c>
    </row>
    <row r="7" spans="1:7" x14ac:dyDescent="0.3">
      <c r="A7" s="13" t="s">
        <v>0</v>
      </c>
      <c r="B7" s="13" t="s">
        <v>1</v>
      </c>
      <c r="C7" s="18" t="s">
        <v>6</v>
      </c>
      <c r="D7" s="13">
        <v>24990</v>
      </c>
      <c r="E7" s="13">
        <v>21000</v>
      </c>
      <c r="F7" s="18">
        <v>0</v>
      </c>
      <c r="G7" s="13" t="s">
        <v>37</v>
      </c>
    </row>
    <row r="8" spans="1:7" x14ac:dyDescent="0.3">
      <c r="A8" s="19" t="s">
        <v>0</v>
      </c>
      <c r="B8" s="19" t="s">
        <v>7</v>
      </c>
      <c r="C8" s="20" t="s">
        <v>2</v>
      </c>
      <c r="D8" s="13">
        <v>24990</v>
      </c>
      <c r="E8" s="19">
        <v>21000</v>
      </c>
      <c r="F8" s="20">
        <v>0</v>
      </c>
      <c r="G8" s="13" t="s">
        <v>38</v>
      </c>
    </row>
    <row r="9" spans="1:7" x14ac:dyDescent="0.3">
      <c r="A9" s="13" t="s">
        <v>0</v>
      </c>
      <c r="B9" s="13" t="s">
        <v>7</v>
      </c>
      <c r="C9" s="18" t="s">
        <v>3</v>
      </c>
      <c r="D9" s="13">
        <v>24990</v>
      </c>
      <c r="E9" s="13">
        <v>21000</v>
      </c>
      <c r="F9" s="18">
        <v>1</v>
      </c>
      <c r="G9" s="13" t="s">
        <v>39</v>
      </c>
    </row>
    <row r="10" spans="1:7" x14ac:dyDescent="0.3">
      <c r="A10" s="19" t="s">
        <v>0</v>
      </c>
      <c r="B10" s="19" t="s">
        <v>7</v>
      </c>
      <c r="C10" s="20" t="s">
        <v>4</v>
      </c>
      <c r="D10" s="13">
        <v>24990</v>
      </c>
      <c r="E10" s="19">
        <v>21000</v>
      </c>
      <c r="F10" s="20">
        <v>18</v>
      </c>
      <c r="G10" s="13" t="s">
        <v>40</v>
      </c>
    </row>
    <row r="11" spans="1:7" x14ac:dyDescent="0.3">
      <c r="A11" s="13" t="s">
        <v>0</v>
      </c>
      <c r="B11" s="13" t="s">
        <v>7</v>
      </c>
      <c r="C11" s="18" t="s">
        <v>5</v>
      </c>
      <c r="D11" s="13">
        <v>24990</v>
      </c>
      <c r="E11" s="13">
        <v>21000</v>
      </c>
      <c r="F11" s="18">
        <v>5</v>
      </c>
      <c r="G11" s="13" t="s">
        <v>41</v>
      </c>
    </row>
    <row r="12" spans="1:7" x14ac:dyDescent="0.3">
      <c r="A12" s="19" t="s">
        <v>0</v>
      </c>
      <c r="B12" s="19" t="s">
        <v>7</v>
      </c>
      <c r="C12" s="20" t="s">
        <v>6</v>
      </c>
      <c r="D12" s="13">
        <v>24990</v>
      </c>
      <c r="E12" s="19">
        <v>21000</v>
      </c>
      <c r="F12" s="20">
        <v>0</v>
      </c>
      <c r="G12" s="13" t="s">
        <v>42</v>
      </c>
    </row>
    <row r="13" spans="1:7" x14ac:dyDescent="0.3">
      <c r="A13" s="19" t="s">
        <v>8</v>
      </c>
      <c r="B13" s="10"/>
      <c r="C13" s="10"/>
      <c r="D13" s="13">
        <v>16000</v>
      </c>
      <c r="E13" s="19">
        <v>15000</v>
      </c>
      <c r="F13" s="20">
        <v>24</v>
      </c>
      <c r="G13" s="13" t="s">
        <v>43</v>
      </c>
    </row>
    <row r="14" spans="1:7" x14ac:dyDescent="0.3">
      <c r="A14" s="13" t="s">
        <v>9</v>
      </c>
      <c r="B14" s="10"/>
      <c r="C14" s="10"/>
      <c r="D14" s="13">
        <v>5950</v>
      </c>
      <c r="E14" s="13">
        <v>5000</v>
      </c>
      <c r="F14" s="18">
        <v>45</v>
      </c>
      <c r="G14" s="13" t="s">
        <v>44</v>
      </c>
    </row>
    <row r="15" spans="1:7" x14ac:dyDescent="0.3">
      <c r="A15" s="19" t="s">
        <v>10</v>
      </c>
      <c r="B15" s="10"/>
      <c r="C15" s="10"/>
      <c r="D15" s="13">
        <v>6950</v>
      </c>
      <c r="E15" s="19">
        <v>6000</v>
      </c>
      <c r="F15" s="20">
        <v>16</v>
      </c>
      <c r="G15" s="13" t="s">
        <v>45</v>
      </c>
    </row>
    <row r="16" spans="1:7" x14ac:dyDescent="0.3">
      <c r="A16" s="2" t="s">
        <v>66</v>
      </c>
      <c r="B16" s="10"/>
      <c r="C16" s="10"/>
      <c r="D16" s="13">
        <v>5950</v>
      </c>
      <c r="E16" s="13">
        <v>5000</v>
      </c>
      <c r="F16" s="18">
        <v>53</v>
      </c>
      <c r="G16" s="13" t="s">
        <v>46</v>
      </c>
    </row>
    <row r="17" spans="1:7" x14ac:dyDescent="0.3">
      <c r="A17" s="19" t="s">
        <v>11</v>
      </c>
      <c r="B17" s="19" t="s">
        <v>12</v>
      </c>
      <c r="C17" s="10"/>
      <c r="D17" s="13">
        <v>12000</v>
      </c>
      <c r="E17" s="19">
        <v>10085</v>
      </c>
      <c r="F17" s="20">
        <v>1</v>
      </c>
      <c r="G17" s="13" t="s">
        <v>47</v>
      </c>
    </row>
    <row r="18" spans="1:7" x14ac:dyDescent="0.3">
      <c r="A18" s="19" t="s">
        <v>13</v>
      </c>
      <c r="B18" s="19" t="s">
        <v>14</v>
      </c>
      <c r="C18" s="10"/>
      <c r="D18" s="13">
        <v>2500</v>
      </c>
      <c r="E18" s="19">
        <v>2500</v>
      </c>
      <c r="F18" s="20">
        <v>5</v>
      </c>
      <c r="G18" s="13" t="s">
        <v>48</v>
      </c>
    </row>
    <row r="19" spans="1:7" x14ac:dyDescent="0.3">
      <c r="A19" s="13" t="s">
        <v>13</v>
      </c>
      <c r="B19" s="13" t="s">
        <v>15</v>
      </c>
      <c r="C19" s="10"/>
      <c r="D19" s="13">
        <v>2500</v>
      </c>
      <c r="E19" s="13">
        <v>2500</v>
      </c>
      <c r="F19" s="18">
        <v>0</v>
      </c>
      <c r="G19" s="13" t="s">
        <v>49</v>
      </c>
    </row>
    <row r="20" spans="1:7" x14ac:dyDescent="0.3">
      <c r="A20" s="19" t="s">
        <v>16</v>
      </c>
      <c r="B20" s="19" t="s">
        <v>15</v>
      </c>
      <c r="C20" s="10"/>
      <c r="D20" s="13">
        <v>2500</v>
      </c>
      <c r="E20" s="19">
        <v>2500</v>
      </c>
      <c r="F20" s="20">
        <v>0</v>
      </c>
      <c r="G20" s="13" t="s">
        <v>50</v>
      </c>
    </row>
    <row r="21" spans="1:7" x14ac:dyDescent="0.3">
      <c r="A21" s="13" t="s">
        <v>16</v>
      </c>
      <c r="B21" s="13" t="s">
        <v>12</v>
      </c>
      <c r="C21" s="10"/>
      <c r="D21" s="13">
        <v>2500</v>
      </c>
      <c r="E21" s="13">
        <v>2500</v>
      </c>
      <c r="F21" s="18">
        <v>8</v>
      </c>
      <c r="G21" s="13" t="s">
        <v>51</v>
      </c>
    </row>
    <row r="22" spans="1:7" x14ac:dyDescent="0.3">
      <c r="A22" s="19" t="s">
        <v>17</v>
      </c>
      <c r="B22" s="19" t="s">
        <v>18</v>
      </c>
      <c r="C22" s="10"/>
      <c r="D22" s="13">
        <v>2500</v>
      </c>
      <c r="E22" s="19">
        <v>2500</v>
      </c>
      <c r="F22" s="20">
        <v>3</v>
      </c>
      <c r="G22" s="13" t="s">
        <v>52</v>
      </c>
    </row>
    <row r="23" spans="1:7" x14ac:dyDescent="0.3">
      <c r="A23" s="13" t="s">
        <v>19</v>
      </c>
      <c r="B23" s="13" t="s">
        <v>1</v>
      </c>
      <c r="C23" s="10"/>
      <c r="D23" s="13">
        <v>2500</v>
      </c>
      <c r="E23" s="13">
        <v>2500</v>
      </c>
      <c r="F23" s="18">
        <v>7</v>
      </c>
      <c r="G23" s="13" t="s">
        <v>53</v>
      </c>
    </row>
    <row r="24" spans="1:7" x14ac:dyDescent="0.3">
      <c r="A24" s="19" t="s">
        <v>20</v>
      </c>
      <c r="B24" s="19" t="s">
        <v>1</v>
      </c>
      <c r="C24" s="10"/>
      <c r="D24" s="13">
        <v>2500</v>
      </c>
      <c r="E24" s="13">
        <v>2500</v>
      </c>
      <c r="F24" s="20">
        <v>8</v>
      </c>
      <c r="G24" s="13" t="s">
        <v>54</v>
      </c>
    </row>
    <row r="25" spans="1:7" x14ac:dyDescent="0.3">
      <c r="A25" s="13" t="s">
        <v>21</v>
      </c>
      <c r="B25" s="13" t="s">
        <v>1</v>
      </c>
      <c r="C25" s="10"/>
      <c r="D25" s="13">
        <v>2500</v>
      </c>
      <c r="E25" s="13">
        <v>2500</v>
      </c>
      <c r="F25" s="18">
        <v>9</v>
      </c>
      <c r="G25" s="13" t="s">
        <v>55</v>
      </c>
    </row>
    <row r="26" spans="1:7" x14ac:dyDescent="0.3">
      <c r="A26" s="19" t="s">
        <v>22</v>
      </c>
      <c r="B26" s="19" t="s">
        <v>1</v>
      </c>
      <c r="C26" s="10"/>
      <c r="D26" s="13">
        <v>2500</v>
      </c>
      <c r="E26" s="13">
        <v>2500</v>
      </c>
      <c r="F26" s="20">
        <v>10</v>
      </c>
      <c r="G26" s="13" t="s">
        <v>56</v>
      </c>
    </row>
    <row r="27" spans="1:7" x14ac:dyDescent="0.3">
      <c r="A27" s="13" t="s">
        <v>23</v>
      </c>
      <c r="B27" s="13" t="s">
        <v>1</v>
      </c>
      <c r="C27" s="10"/>
      <c r="D27" s="13">
        <v>2500</v>
      </c>
      <c r="E27" s="13">
        <v>2500</v>
      </c>
      <c r="F27" s="18">
        <v>5</v>
      </c>
      <c r="G27" s="13" t="s">
        <v>57</v>
      </c>
    </row>
    <row r="28" spans="1:7" x14ac:dyDescent="0.3">
      <c r="A28" s="19" t="s">
        <v>24</v>
      </c>
      <c r="B28" s="19" t="s">
        <v>1</v>
      </c>
      <c r="C28" s="10"/>
      <c r="D28" s="13">
        <v>2500</v>
      </c>
      <c r="E28" s="13">
        <v>2500</v>
      </c>
      <c r="F28" s="20">
        <v>5</v>
      </c>
      <c r="G28" s="13" t="s">
        <v>58</v>
      </c>
    </row>
    <row r="29" spans="1:7" x14ac:dyDescent="0.3">
      <c r="A29" s="13" t="s">
        <v>25</v>
      </c>
      <c r="B29" s="13" t="s">
        <v>1</v>
      </c>
      <c r="C29" s="10"/>
      <c r="D29" s="13">
        <v>2500</v>
      </c>
      <c r="E29" s="13">
        <v>2500</v>
      </c>
      <c r="F29" s="18">
        <v>4</v>
      </c>
      <c r="G29" s="13" t="s">
        <v>59</v>
      </c>
    </row>
  </sheetData>
  <mergeCells count="1">
    <mergeCell ref="A1:G1"/>
  </mergeCells>
  <conditionalFormatting sqref="F3:F29">
    <cfRule type="expression" dxfId="14" priority="4">
      <formula>AND(XFD5&lt;&gt;"",K5="CRITICO")</formula>
    </cfRule>
    <cfRule type="expression" dxfId="13" priority="5">
      <formula>AND(XFD5&lt;&gt;"",K5="BAJO")</formula>
    </cfRule>
    <cfRule type="expression" dxfId="12" priority="6">
      <formula>AND(XFD5&lt;&gt;"",K5="NORMAL")</formula>
    </cfRule>
    <cfRule type="expression" dxfId="11" priority="7">
      <formula>AND(XFD5&lt;&gt;"",K5="ALTO")</formula>
    </cfRule>
    <cfRule type="expression" dxfId="10" priority="8">
      <formula>AND(XFD5&lt;&gt;"",K5="HISTORICO")</formula>
    </cfRule>
  </conditionalFormatting>
  <conditionalFormatting sqref="G3:G29">
    <cfRule type="expression" dxfId="9" priority="1">
      <formula>AND(G3&lt;&gt;"",COUNTIF($P$3:$P$61,G3)&gt;1)</formula>
    </cfRule>
  </conditionalFormatting>
  <dataValidations count="1">
    <dataValidation type="custom" allowBlank="1" showErrorMessage="1" errorTitle="SKU repetido" error="Ese SKU ya existe en el inventario. Cada SKU debe ser unico." sqref="G3:G29" xr:uid="{1AA0B150-9297-40B5-9E10-5D7842BF32CA}">
      <formula1>OR(G3="",COUNTIF($P$3:$P$61,G3)=1)</formula1>
      <formula2>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36068-C459-4487-9E48-C59967FF2198}">
  <sheetPr>
    <tabColor theme="4" tint="-0.499984740745262"/>
  </sheetPr>
  <dimension ref="A1:E174"/>
  <sheetViews>
    <sheetView tabSelected="1" topLeftCell="A157" workbookViewId="0">
      <selection activeCell="B170" sqref="B170"/>
    </sheetView>
  </sheetViews>
  <sheetFormatPr baseColWidth="10" defaultRowHeight="14.4" x14ac:dyDescent="0.3"/>
  <cols>
    <col min="1" max="2" width="11.5546875" style="1"/>
    <col min="3" max="3" width="19.77734375" style="1" bestFit="1" customWidth="1"/>
    <col min="4" max="5" width="11.5546875" style="1"/>
  </cols>
  <sheetData>
    <row r="1" spans="1:5" x14ac:dyDescent="0.3">
      <c r="A1" s="23" t="s">
        <v>67</v>
      </c>
      <c r="B1" s="23"/>
      <c r="C1" s="23"/>
      <c r="D1" s="23"/>
      <c r="E1" s="23"/>
    </row>
    <row r="2" spans="1:5" x14ac:dyDescent="0.3">
      <c r="A2" s="14" t="s">
        <v>61</v>
      </c>
      <c r="B2" s="14" t="s">
        <v>62</v>
      </c>
      <c r="C2" s="14" t="s">
        <v>65</v>
      </c>
      <c r="D2" s="14" t="s">
        <v>63</v>
      </c>
      <c r="E2" s="14" t="s">
        <v>64</v>
      </c>
    </row>
    <row r="3" spans="1:5" x14ac:dyDescent="0.3">
      <c r="A3" s="2">
        <v>1</v>
      </c>
      <c r="B3" s="3">
        <v>46035</v>
      </c>
      <c r="C3" s="13" t="s">
        <v>44</v>
      </c>
      <c r="D3" s="2">
        <v>1</v>
      </c>
      <c r="E3" s="12">
        <f>D3 * _xlfn.XLOOKUP(C3, Inventario!G:G, Inventario!D:D, 0)</f>
        <v>5950</v>
      </c>
    </row>
    <row r="4" spans="1:5" x14ac:dyDescent="0.3">
      <c r="A4" s="2">
        <v>2</v>
      </c>
      <c r="B4" s="3">
        <v>46035</v>
      </c>
      <c r="C4" s="13" t="s">
        <v>34</v>
      </c>
      <c r="D4" s="2">
        <v>1</v>
      </c>
      <c r="E4" s="12">
        <f>D4 * _xlfn.XLOOKUP(C4, Inventario!G:G, Inventario!D:D, 0)</f>
        <v>24990</v>
      </c>
    </row>
    <row r="5" spans="1:5" x14ac:dyDescent="0.3">
      <c r="A5" s="2">
        <v>2</v>
      </c>
      <c r="B5" s="3">
        <v>46035</v>
      </c>
      <c r="C5" s="2" t="s">
        <v>43</v>
      </c>
      <c r="D5" s="2">
        <v>1</v>
      </c>
      <c r="E5" s="12">
        <f>D5 * _xlfn.XLOOKUP(C5, Inventario!G:G, Inventario!D:D, 0)</f>
        <v>16000</v>
      </c>
    </row>
    <row r="6" spans="1:5" x14ac:dyDescent="0.3">
      <c r="A6" s="2">
        <v>3</v>
      </c>
      <c r="B6" s="3">
        <v>46035</v>
      </c>
      <c r="C6" s="13" t="s">
        <v>46</v>
      </c>
      <c r="D6" s="2">
        <v>1</v>
      </c>
      <c r="E6" s="12">
        <f>D6 * _xlfn.XLOOKUP(C6, Inventario!G:G, Inventario!D:D, 0)</f>
        <v>5950</v>
      </c>
    </row>
    <row r="7" spans="1:5" x14ac:dyDescent="0.3">
      <c r="A7" s="2">
        <v>4</v>
      </c>
      <c r="B7" s="3">
        <v>46035</v>
      </c>
      <c r="C7" s="13" t="s">
        <v>43</v>
      </c>
      <c r="D7" s="2">
        <v>1</v>
      </c>
      <c r="E7" s="12">
        <f>D7 * _xlfn.XLOOKUP(C7, Inventario!G:G, Inventario!D:D, 0)</f>
        <v>16000</v>
      </c>
    </row>
    <row r="8" spans="1:5" x14ac:dyDescent="0.3">
      <c r="A8" s="2">
        <v>5</v>
      </c>
      <c r="B8" s="3">
        <v>46035</v>
      </c>
      <c r="C8" s="15" t="s">
        <v>35</v>
      </c>
      <c r="D8" s="2">
        <v>1</v>
      </c>
      <c r="E8" s="12">
        <f>D8 * _xlfn.XLOOKUP(C8, Inventario!G:G, Inventario!D:D, 0)</f>
        <v>24990</v>
      </c>
    </row>
    <row r="9" spans="1:5" x14ac:dyDescent="0.3">
      <c r="A9" s="2">
        <v>5</v>
      </c>
      <c r="B9" s="3">
        <v>46035</v>
      </c>
      <c r="C9" s="15" t="s">
        <v>35</v>
      </c>
      <c r="D9" s="2">
        <v>1</v>
      </c>
      <c r="E9" s="12">
        <f>D9 * _xlfn.XLOOKUP(C9, Inventario!G:G, Inventario!D:D, 0)</f>
        <v>24990</v>
      </c>
    </row>
    <row r="10" spans="1:5" x14ac:dyDescent="0.3">
      <c r="A10" s="2">
        <v>5</v>
      </c>
      <c r="B10" s="3">
        <v>46035</v>
      </c>
      <c r="C10" s="15" t="s">
        <v>46</v>
      </c>
      <c r="D10" s="2">
        <v>1</v>
      </c>
      <c r="E10" s="12">
        <f>D10 * _xlfn.XLOOKUP(C10, Inventario!G:G, Inventario!D:D, 0)</f>
        <v>5950</v>
      </c>
    </row>
    <row r="11" spans="1:5" x14ac:dyDescent="0.3">
      <c r="A11" s="2">
        <v>6</v>
      </c>
      <c r="B11" s="3">
        <v>46035</v>
      </c>
      <c r="C11" s="15" t="s">
        <v>35</v>
      </c>
      <c r="D11" s="2">
        <v>1</v>
      </c>
      <c r="E11" s="12">
        <f>D11 * _xlfn.XLOOKUP(C11, Inventario!G:G, Inventario!D:D, 0)</f>
        <v>24990</v>
      </c>
    </row>
    <row r="12" spans="1:5" x14ac:dyDescent="0.3">
      <c r="A12" s="2">
        <v>7</v>
      </c>
      <c r="B12" s="3">
        <v>46035</v>
      </c>
      <c r="C12" s="15" t="s">
        <v>35</v>
      </c>
      <c r="D12" s="2">
        <v>1</v>
      </c>
      <c r="E12" s="12">
        <f>D12 * _xlfn.XLOOKUP(C12, Inventario!G:G, Inventario!D:D, 0)</f>
        <v>24990</v>
      </c>
    </row>
    <row r="13" spans="1:5" x14ac:dyDescent="0.3">
      <c r="A13" s="2">
        <v>8</v>
      </c>
      <c r="B13" s="3">
        <v>46035</v>
      </c>
      <c r="C13" s="15" t="s">
        <v>46</v>
      </c>
      <c r="D13" s="2">
        <v>1</v>
      </c>
      <c r="E13" s="12">
        <f>D13 * _xlfn.XLOOKUP(C13, Inventario!G:G, Inventario!D:D, 0)</f>
        <v>5950</v>
      </c>
    </row>
    <row r="14" spans="1:5" x14ac:dyDescent="0.3">
      <c r="A14" s="2">
        <v>9</v>
      </c>
      <c r="B14" s="3">
        <v>46035</v>
      </c>
      <c r="C14" s="15" t="s">
        <v>46</v>
      </c>
      <c r="D14" s="2">
        <v>1</v>
      </c>
      <c r="E14" s="12">
        <f>D14 * _xlfn.XLOOKUP(C14, Inventario!G:G, Inventario!D:D, 0)</f>
        <v>5950</v>
      </c>
    </row>
    <row r="15" spans="1:5" x14ac:dyDescent="0.3">
      <c r="A15" s="21">
        <v>10</v>
      </c>
      <c r="B15" s="22">
        <v>45670</v>
      </c>
      <c r="C15" s="15" t="s">
        <v>46</v>
      </c>
      <c r="D15" s="2">
        <v>1</v>
      </c>
      <c r="E15" s="12">
        <f>D15 * _xlfn.XLOOKUP(C15, Inventario!G:G, Inventario!D:D, 0)</f>
        <v>5950</v>
      </c>
    </row>
    <row r="16" spans="1:5" x14ac:dyDescent="0.3">
      <c r="A16" s="21"/>
      <c r="B16" s="21"/>
      <c r="C16" s="15" t="s">
        <v>43</v>
      </c>
      <c r="D16" s="2">
        <v>1</v>
      </c>
      <c r="E16" s="12">
        <f>D16 * _xlfn.XLOOKUP(C16, Inventario!G:G, Inventario!D:D, 0)</f>
        <v>16000</v>
      </c>
    </row>
    <row r="17" spans="1:5" x14ac:dyDescent="0.3">
      <c r="A17" s="2">
        <v>11</v>
      </c>
      <c r="B17" s="3">
        <v>45670</v>
      </c>
      <c r="C17" s="15" t="s">
        <v>46</v>
      </c>
      <c r="D17" s="2">
        <v>1</v>
      </c>
      <c r="E17" s="12">
        <f>D17 * _xlfn.XLOOKUP(C17, Inventario!G:G, Inventario!D:D, 0)</f>
        <v>5950</v>
      </c>
    </row>
    <row r="18" spans="1:5" x14ac:dyDescent="0.3">
      <c r="A18" s="2">
        <v>12</v>
      </c>
      <c r="B18" s="3">
        <v>45670</v>
      </c>
      <c r="C18" s="15" t="s">
        <v>46</v>
      </c>
      <c r="D18" s="2">
        <v>1</v>
      </c>
      <c r="E18" s="12">
        <f>D18 * _xlfn.XLOOKUP(C18, Inventario!G:G, Inventario!D:D, 0)</f>
        <v>5950</v>
      </c>
    </row>
    <row r="19" spans="1:5" x14ac:dyDescent="0.3">
      <c r="A19" s="21">
        <v>13</v>
      </c>
      <c r="B19" s="22">
        <v>45670</v>
      </c>
      <c r="C19" s="15" t="s">
        <v>46</v>
      </c>
      <c r="D19" s="2">
        <v>1</v>
      </c>
      <c r="E19" s="12">
        <f>D19 * _xlfn.XLOOKUP(C19, Inventario!G:G, Inventario!D:D, 0)</f>
        <v>5950</v>
      </c>
    </row>
    <row r="20" spans="1:5" x14ac:dyDescent="0.3">
      <c r="A20" s="21"/>
      <c r="B20" s="21"/>
      <c r="C20" s="15" t="s">
        <v>43</v>
      </c>
      <c r="D20" s="2">
        <v>1</v>
      </c>
      <c r="E20" s="12">
        <f>D20 * _xlfn.XLOOKUP(C20, Inventario!G:G, Inventario!D:D, 0)</f>
        <v>16000</v>
      </c>
    </row>
    <row r="21" spans="1:5" x14ac:dyDescent="0.3">
      <c r="A21" s="6">
        <v>14</v>
      </c>
      <c r="B21" s="3">
        <v>45670</v>
      </c>
      <c r="C21" s="15" t="s">
        <v>46</v>
      </c>
      <c r="D21" s="2">
        <v>1</v>
      </c>
      <c r="E21" s="12">
        <f>D21 * _xlfn.XLOOKUP(C21, Inventario!G:G, Inventario!D:D, 0)</f>
        <v>5950</v>
      </c>
    </row>
    <row r="22" spans="1:5" x14ac:dyDescent="0.3">
      <c r="A22" s="6">
        <v>15</v>
      </c>
      <c r="B22" s="3">
        <v>45670</v>
      </c>
      <c r="C22" s="15" t="s">
        <v>46</v>
      </c>
      <c r="D22" s="2">
        <v>1</v>
      </c>
      <c r="E22" s="12">
        <f>D22 * _xlfn.XLOOKUP(C22, Inventario!G:G, Inventario!D:D, 0)</f>
        <v>5950</v>
      </c>
    </row>
    <row r="23" spans="1:5" x14ac:dyDescent="0.3">
      <c r="A23" s="24">
        <v>16</v>
      </c>
      <c r="B23" s="22">
        <v>45670</v>
      </c>
      <c r="C23" s="15" t="s">
        <v>44</v>
      </c>
      <c r="D23" s="2">
        <v>1</v>
      </c>
      <c r="E23" s="12">
        <f>D23 * _xlfn.XLOOKUP(C23, Inventario!G:G, Inventario!D:D, 0)</f>
        <v>5950</v>
      </c>
    </row>
    <row r="24" spans="1:5" x14ac:dyDescent="0.3">
      <c r="A24" s="24"/>
      <c r="B24" s="24"/>
      <c r="C24" s="15" t="s">
        <v>46</v>
      </c>
      <c r="D24" s="2">
        <v>1</v>
      </c>
      <c r="E24" s="12">
        <f>D24 * _xlfn.XLOOKUP(C24, Inventario!G:G, Inventario!D:D, 0)</f>
        <v>5950</v>
      </c>
    </row>
    <row r="25" spans="1:5" x14ac:dyDescent="0.3">
      <c r="A25" s="6">
        <v>17</v>
      </c>
      <c r="B25" s="3">
        <v>45670</v>
      </c>
      <c r="C25" s="15" t="s">
        <v>45</v>
      </c>
      <c r="D25" s="2">
        <v>1</v>
      </c>
      <c r="E25" s="12">
        <f>D25 * _xlfn.XLOOKUP(C25, Inventario!G:G, Inventario!D:D, 0)</f>
        <v>6950</v>
      </c>
    </row>
    <row r="26" spans="1:5" x14ac:dyDescent="0.3">
      <c r="A26" s="6">
        <v>18</v>
      </c>
      <c r="B26" s="3">
        <v>45670</v>
      </c>
      <c r="C26" s="15" t="s">
        <v>43</v>
      </c>
      <c r="D26" s="2">
        <v>1</v>
      </c>
      <c r="E26" s="12">
        <f>D26 * _xlfn.XLOOKUP(C26, Inventario!G:G, Inventario!D:D, 0)</f>
        <v>16000</v>
      </c>
    </row>
    <row r="27" spans="1:5" x14ac:dyDescent="0.3">
      <c r="A27" s="24">
        <v>19</v>
      </c>
      <c r="B27" s="3">
        <v>45670</v>
      </c>
      <c r="C27" s="15" t="s">
        <v>36</v>
      </c>
      <c r="D27" s="2">
        <v>1</v>
      </c>
      <c r="E27" s="12">
        <f>D27 * _xlfn.XLOOKUP(C27, Inventario!G:G, Inventario!D:D, 0)</f>
        <v>24990</v>
      </c>
    </row>
    <row r="28" spans="1:5" x14ac:dyDescent="0.3">
      <c r="A28" s="24"/>
      <c r="B28" s="3">
        <v>45670</v>
      </c>
      <c r="C28" s="15" t="s">
        <v>39</v>
      </c>
      <c r="D28" s="2">
        <v>1</v>
      </c>
      <c r="E28" s="12">
        <f>D28 * _xlfn.XLOOKUP(C28, Inventario!G:G, Inventario!D:D, 0)</f>
        <v>24990</v>
      </c>
    </row>
    <row r="29" spans="1:5" x14ac:dyDescent="0.3">
      <c r="A29" s="6">
        <v>19.6428571428571</v>
      </c>
      <c r="B29" s="16">
        <v>46036</v>
      </c>
      <c r="C29" s="15" t="s">
        <v>46</v>
      </c>
      <c r="D29" s="2">
        <v>1</v>
      </c>
      <c r="E29" s="12">
        <f>D29 * _xlfn.XLOOKUP(C29, Inventario!G:G, Inventario!D:D, 0)</f>
        <v>5950</v>
      </c>
    </row>
    <row r="30" spans="1:5" x14ac:dyDescent="0.3">
      <c r="A30" s="24">
        <v>21</v>
      </c>
      <c r="B30" s="16">
        <v>46036</v>
      </c>
      <c r="C30" s="15" t="s">
        <v>46</v>
      </c>
      <c r="D30" s="2">
        <v>1</v>
      </c>
      <c r="E30" s="12">
        <f>D30 * _xlfn.XLOOKUP(C30, Inventario!G:G, Inventario!D:D, 0)</f>
        <v>5950</v>
      </c>
    </row>
    <row r="31" spans="1:5" x14ac:dyDescent="0.3">
      <c r="A31" s="24"/>
      <c r="B31" s="16">
        <v>46036</v>
      </c>
      <c r="C31" s="15" t="s">
        <v>43</v>
      </c>
      <c r="D31" s="2">
        <v>2</v>
      </c>
      <c r="E31" s="12">
        <f>D31 * _xlfn.XLOOKUP(C31, Inventario!G:G, Inventario!D:D, 0)</f>
        <v>32000</v>
      </c>
    </row>
    <row r="32" spans="1:5" x14ac:dyDescent="0.3">
      <c r="A32" s="6">
        <v>22</v>
      </c>
      <c r="B32" s="16">
        <v>46036</v>
      </c>
      <c r="C32" s="15" t="s">
        <v>46</v>
      </c>
      <c r="D32" s="2">
        <v>1</v>
      </c>
      <c r="E32" s="12">
        <f>D32 * _xlfn.XLOOKUP(C32, Inventario!G:G, Inventario!D:D, 0)</f>
        <v>5950</v>
      </c>
    </row>
    <row r="33" spans="1:5" x14ac:dyDescent="0.3">
      <c r="A33" s="6">
        <v>23</v>
      </c>
      <c r="B33" s="16">
        <v>46036</v>
      </c>
      <c r="C33" s="15" t="s">
        <v>43</v>
      </c>
      <c r="D33" s="2">
        <v>1</v>
      </c>
      <c r="E33" s="12">
        <f>D33 * _xlfn.XLOOKUP(C33, Inventario!G:G, Inventario!D:D, 0)</f>
        <v>16000</v>
      </c>
    </row>
    <row r="34" spans="1:5" x14ac:dyDescent="0.3">
      <c r="A34" s="24">
        <v>24</v>
      </c>
      <c r="B34" s="22">
        <v>46037</v>
      </c>
      <c r="C34" s="15" t="s">
        <v>35</v>
      </c>
      <c r="D34" s="2">
        <v>1</v>
      </c>
      <c r="E34" s="12">
        <f>D34 * _xlfn.XLOOKUP(C34, Inventario!G:G, Inventario!D:D, 0)</f>
        <v>24990</v>
      </c>
    </row>
    <row r="35" spans="1:5" x14ac:dyDescent="0.3">
      <c r="A35" s="24"/>
      <c r="B35" s="22"/>
      <c r="C35" s="15" t="s">
        <v>43</v>
      </c>
      <c r="D35" s="2">
        <v>1</v>
      </c>
      <c r="E35" s="12">
        <f>D35 * _xlfn.XLOOKUP(C35, Inventario!G:G, Inventario!D:D, 0)</f>
        <v>16000</v>
      </c>
    </row>
    <row r="36" spans="1:5" x14ac:dyDescent="0.3">
      <c r="A36" s="6">
        <v>25</v>
      </c>
      <c r="B36" s="3">
        <v>46037</v>
      </c>
      <c r="C36" s="15" t="s">
        <v>45</v>
      </c>
      <c r="D36" s="2">
        <v>1</v>
      </c>
      <c r="E36" s="12">
        <f>D36 * _xlfn.XLOOKUP(C36, Inventario!G:G, Inventario!D:D, 0)</f>
        <v>6950</v>
      </c>
    </row>
    <row r="37" spans="1:5" x14ac:dyDescent="0.3">
      <c r="A37" s="21">
        <v>26</v>
      </c>
      <c r="B37" s="22">
        <v>46037</v>
      </c>
      <c r="C37" s="15" t="s">
        <v>45</v>
      </c>
      <c r="D37" s="2">
        <v>1</v>
      </c>
      <c r="E37" s="12">
        <f>D37 * _xlfn.XLOOKUP(C37, Inventario!G:G, Inventario!D:D, 0)</f>
        <v>6950</v>
      </c>
    </row>
    <row r="38" spans="1:5" x14ac:dyDescent="0.3">
      <c r="A38" s="21"/>
      <c r="B38" s="21"/>
      <c r="C38" s="15" t="s">
        <v>43</v>
      </c>
      <c r="D38" s="2">
        <v>1</v>
      </c>
      <c r="E38" s="12">
        <f>D38 * _xlfn.XLOOKUP(C38, Inventario!G:G, Inventario!D:D, 0)</f>
        <v>16000</v>
      </c>
    </row>
    <row r="39" spans="1:5" x14ac:dyDescent="0.3">
      <c r="A39" s="21"/>
      <c r="B39" s="21"/>
      <c r="C39" s="15" t="s">
        <v>44</v>
      </c>
      <c r="D39" s="2">
        <v>1</v>
      </c>
      <c r="E39" s="12">
        <f>D39 * _xlfn.XLOOKUP(C39, Inventario!G:G, Inventario!D:D, 0)</f>
        <v>5950</v>
      </c>
    </row>
    <row r="40" spans="1:5" x14ac:dyDescent="0.3">
      <c r="A40" s="2">
        <v>27</v>
      </c>
      <c r="B40" s="3">
        <v>46037</v>
      </c>
      <c r="C40" s="15" t="s">
        <v>43</v>
      </c>
      <c r="D40" s="2">
        <v>1</v>
      </c>
      <c r="E40" s="12">
        <f>D40 * _xlfn.XLOOKUP(C40, Inventario!G:G, Inventario!D:D, 0)</f>
        <v>16000</v>
      </c>
    </row>
    <row r="41" spans="1:5" x14ac:dyDescent="0.3">
      <c r="A41" s="2">
        <v>28</v>
      </c>
      <c r="B41" s="3">
        <v>46037</v>
      </c>
      <c r="C41" s="15" t="s">
        <v>36</v>
      </c>
      <c r="D41" s="2">
        <v>1</v>
      </c>
      <c r="E41" s="12">
        <f>D41 * _xlfn.XLOOKUP(C41, Inventario!G:G, Inventario!D:D, 0)</f>
        <v>24990</v>
      </c>
    </row>
    <row r="42" spans="1:5" x14ac:dyDescent="0.3">
      <c r="A42" s="2">
        <v>29</v>
      </c>
      <c r="B42" s="3">
        <v>46037</v>
      </c>
      <c r="C42" s="15" t="s">
        <v>34</v>
      </c>
      <c r="D42" s="2">
        <v>1</v>
      </c>
      <c r="E42" s="12">
        <f>D42 * _xlfn.XLOOKUP(C42, Inventario!G:G, Inventario!D:D, 0)</f>
        <v>24990</v>
      </c>
    </row>
    <row r="43" spans="1:5" x14ac:dyDescent="0.3">
      <c r="A43" s="2">
        <v>30</v>
      </c>
      <c r="B43" s="3">
        <v>46037</v>
      </c>
      <c r="C43" s="15" t="s">
        <v>35</v>
      </c>
      <c r="D43" s="2">
        <v>1</v>
      </c>
      <c r="E43" s="12">
        <f>D43 * _xlfn.XLOOKUP(C43, Inventario!G:G, Inventario!D:D, 0)</f>
        <v>24990</v>
      </c>
    </row>
    <row r="44" spans="1:5" x14ac:dyDescent="0.3">
      <c r="A44" s="21">
        <v>31</v>
      </c>
      <c r="B44" s="22">
        <v>46037</v>
      </c>
      <c r="C44" s="15" t="s">
        <v>45</v>
      </c>
      <c r="D44" s="2">
        <v>1</v>
      </c>
      <c r="E44" s="12">
        <f>D44 * _xlfn.XLOOKUP(C44, Inventario!G:G, Inventario!D:D, 0)</f>
        <v>6950</v>
      </c>
    </row>
    <row r="45" spans="1:5" x14ac:dyDescent="0.3">
      <c r="A45" s="21"/>
      <c r="B45" s="21"/>
      <c r="C45" s="15" t="s">
        <v>43</v>
      </c>
      <c r="D45" s="2">
        <v>1</v>
      </c>
      <c r="E45" s="12">
        <f>D45 * _xlfn.XLOOKUP(C45, Inventario!G:G, Inventario!D:D, 0)</f>
        <v>16000</v>
      </c>
    </row>
    <row r="46" spans="1:5" x14ac:dyDescent="0.3">
      <c r="A46" s="21"/>
      <c r="B46" s="21"/>
      <c r="C46" s="15" t="s">
        <v>44</v>
      </c>
      <c r="D46" s="2">
        <v>1</v>
      </c>
      <c r="E46" s="12">
        <f>D46 * _xlfn.XLOOKUP(C46, Inventario!G:G, Inventario!D:D, 0)</f>
        <v>5950</v>
      </c>
    </row>
    <row r="47" spans="1:5" x14ac:dyDescent="0.3">
      <c r="A47" s="21">
        <v>32</v>
      </c>
      <c r="B47" s="22">
        <v>46038</v>
      </c>
      <c r="C47" s="15" t="s">
        <v>40</v>
      </c>
      <c r="D47" s="2">
        <v>1</v>
      </c>
      <c r="E47" s="12">
        <f>D47 * _xlfn.XLOOKUP(C47, Inventario!G:G, Inventario!D:D, 0)</f>
        <v>24990</v>
      </c>
    </row>
    <row r="48" spans="1:5" x14ac:dyDescent="0.3">
      <c r="A48" s="21"/>
      <c r="B48" s="21"/>
      <c r="C48" s="15" t="s">
        <v>36</v>
      </c>
      <c r="D48" s="2">
        <v>1</v>
      </c>
      <c r="E48" s="12">
        <f>D48 * _xlfn.XLOOKUP(C48, Inventario!G:G, Inventario!D:D, 0)</f>
        <v>24990</v>
      </c>
    </row>
    <row r="49" spans="1:5" x14ac:dyDescent="0.3">
      <c r="A49" s="21"/>
      <c r="B49" s="21"/>
      <c r="C49" s="15" t="s">
        <v>45</v>
      </c>
      <c r="D49" s="2">
        <v>1</v>
      </c>
      <c r="E49" s="12">
        <f>D49 * _xlfn.XLOOKUP(C49, Inventario!G:G, Inventario!D:D, 0)</f>
        <v>6950</v>
      </c>
    </row>
    <row r="50" spans="1:5" x14ac:dyDescent="0.3">
      <c r="A50" s="2">
        <v>33</v>
      </c>
      <c r="B50" s="3">
        <v>46038</v>
      </c>
      <c r="C50" s="15" t="s">
        <v>43</v>
      </c>
      <c r="D50" s="2">
        <v>1</v>
      </c>
      <c r="E50" s="12">
        <f>D50 * _xlfn.XLOOKUP(C50, Inventario!G:G, Inventario!D:D, 0)</f>
        <v>16000</v>
      </c>
    </row>
    <row r="51" spans="1:5" x14ac:dyDescent="0.3">
      <c r="A51" s="21">
        <v>34</v>
      </c>
      <c r="B51" s="22">
        <v>46038</v>
      </c>
      <c r="C51" s="15" t="s">
        <v>36</v>
      </c>
      <c r="D51" s="2">
        <v>1</v>
      </c>
      <c r="E51" s="12">
        <f>D51 * _xlfn.XLOOKUP(C51, Inventario!G:G, Inventario!D:D, 0)</f>
        <v>24990</v>
      </c>
    </row>
    <row r="52" spans="1:5" x14ac:dyDescent="0.3">
      <c r="A52" s="21"/>
      <c r="B52" s="21"/>
      <c r="C52" s="15" t="s">
        <v>45</v>
      </c>
      <c r="D52" s="2">
        <v>1</v>
      </c>
      <c r="E52" s="12">
        <f>D52 * _xlfn.XLOOKUP(C52, Inventario!G:G, Inventario!D:D, 0)</f>
        <v>6950</v>
      </c>
    </row>
    <row r="53" spans="1:5" x14ac:dyDescent="0.3">
      <c r="A53" s="21">
        <v>35</v>
      </c>
      <c r="B53" s="22">
        <v>46038</v>
      </c>
      <c r="C53" s="15" t="s">
        <v>43</v>
      </c>
      <c r="D53" s="2">
        <v>1</v>
      </c>
      <c r="E53" s="12">
        <f>D53 * _xlfn.XLOOKUP(C53, Inventario!G:G, Inventario!D:D, 0)</f>
        <v>16000</v>
      </c>
    </row>
    <row r="54" spans="1:5" x14ac:dyDescent="0.3">
      <c r="A54" s="21"/>
      <c r="B54" s="21"/>
      <c r="C54" s="15" t="s">
        <v>44</v>
      </c>
      <c r="D54" s="2">
        <v>1</v>
      </c>
      <c r="E54" s="12">
        <f>D54 * _xlfn.XLOOKUP(C54, Inventario!G:G, Inventario!D:D, 0)</f>
        <v>5950</v>
      </c>
    </row>
    <row r="55" spans="1:5" x14ac:dyDescent="0.3">
      <c r="A55" s="2">
        <v>36</v>
      </c>
      <c r="B55" s="3">
        <v>46038</v>
      </c>
      <c r="C55" s="15" t="s">
        <v>43</v>
      </c>
      <c r="D55" s="2">
        <v>1</v>
      </c>
      <c r="E55" s="12">
        <f>D55 * _xlfn.XLOOKUP(C55, Inventario!G:G, Inventario!D:D, 0)</f>
        <v>16000</v>
      </c>
    </row>
    <row r="56" spans="1:5" x14ac:dyDescent="0.3">
      <c r="A56" s="2">
        <v>38</v>
      </c>
      <c r="B56" s="3">
        <v>46038</v>
      </c>
      <c r="C56" s="15" t="s">
        <v>46</v>
      </c>
      <c r="D56" s="2">
        <v>1</v>
      </c>
      <c r="E56" s="12">
        <f>D56 * _xlfn.XLOOKUP(C56, Inventario!G:G, Inventario!D:D, 0)</f>
        <v>5950</v>
      </c>
    </row>
    <row r="57" spans="1:5" x14ac:dyDescent="0.3">
      <c r="A57" s="2">
        <v>37</v>
      </c>
      <c r="B57" s="3">
        <v>46038</v>
      </c>
      <c r="C57" s="15" t="s">
        <v>39</v>
      </c>
      <c r="D57" s="2">
        <v>1</v>
      </c>
      <c r="E57" s="12">
        <f>D57 * _xlfn.XLOOKUP(C57, Inventario!G:G, Inventario!D:D, 0)</f>
        <v>24990</v>
      </c>
    </row>
    <row r="58" spans="1:5" x14ac:dyDescent="0.3">
      <c r="A58" s="2">
        <v>39</v>
      </c>
      <c r="B58" s="3">
        <v>46038</v>
      </c>
      <c r="C58" s="15" t="s">
        <v>46</v>
      </c>
      <c r="D58" s="2">
        <v>1</v>
      </c>
      <c r="E58" s="12">
        <f>D58 * _xlfn.XLOOKUP(C58, Inventario!G:G, Inventario!D:D, 0)</f>
        <v>5950</v>
      </c>
    </row>
    <row r="59" spans="1:5" x14ac:dyDescent="0.3">
      <c r="A59" s="2">
        <v>40</v>
      </c>
      <c r="B59" s="3">
        <v>46038</v>
      </c>
      <c r="C59" s="15" t="s">
        <v>46</v>
      </c>
      <c r="D59" s="2">
        <v>1</v>
      </c>
      <c r="E59" s="12">
        <f>D59 * _xlfn.XLOOKUP(C59, Inventario!G:G, Inventario!D:D, 0)</f>
        <v>5950</v>
      </c>
    </row>
    <row r="60" spans="1:5" x14ac:dyDescent="0.3">
      <c r="A60" s="2">
        <v>41</v>
      </c>
      <c r="B60" s="3">
        <v>46038</v>
      </c>
      <c r="C60" s="15" t="s">
        <v>46</v>
      </c>
      <c r="D60" s="2">
        <v>2</v>
      </c>
      <c r="E60" s="12">
        <f>D60 * _xlfn.XLOOKUP(C60, Inventario!G:G, Inventario!D:D, 0)</f>
        <v>11900</v>
      </c>
    </row>
    <row r="61" spans="1:5" x14ac:dyDescent="0.3">
      <c r="A61" s="2">
        <v>42</v>
      </c>
      <c r="B61" s="3">
        <v>46052</v>
      </c>
      <c r="C61" s="15" t="s">
        <v>45</v>
      </c>
      <c r="D61" s="2">
        <v>2</v>
      </c>
      <c r="E61" s="12">
        <f>D61 * _xlfn.XLOOKUP(C61, Inventario!G:G, Inventario!D:D, 0)</f>
        <v>13900</v>
      </c>
    </row>
    <row r="62" spans="1:5" x14ac:dyDescent="0.3">
      <c r="A62" s="2">
        <v>43</v>
      </c>
      <c r="B62" s="3">
        <v>46052</v>
      </c>
      <c r="C62" s="15" t="s">
        <v>44</v>
      </c>
      <c r="D62" s="2">
        <v>1</v>
      </c>
      <c r="E62" s="12">
        <f>D62 * _xlfn.XLOOKUP(C62, Inventario!G:G, Inventario!D:D, 0)</f>
        <v>5950</v>
      </c>
    </row>
    <row r="63" spans="1:5" x14ac:dyDescent="0.3">
      <c r="A63" s="2">
        <v>44</v>
      </c>
      <c r="B63" s="3">
        <v>46052</v>
      </c>
      <c r="C63" s="15" t="s">
        <v>46</v>
      </c>
      <c r="D63" s="2">
        <v>1</v>
      </c>
      <c r="E63" s="12">
        <f>D63 * _xlfn.XLOOKUP(C63, Inventario!G:G, Inventario!D:D, 0)</f>
        <v>5950</v>
      </c>
    </row>
    <row r="64" spans="1:5" x14ac:dyDescent="0.3">
      <c r="A64" s="2">
        <v>44</v>
      </c>
      <c r="B64" s="3">
        <v>46083</v>
      </c>
      <c r="C64" s="15" t="s">
        <v>46</v>
      </c>
      <c r="D64" s="2">
        <v>1</v>
      </c>
      <c r="E64" s="12">
        <f>D64 * _xlfn.XLOOKUP(C64, Inventario!G:G, Inventario!D:D, 0)</f>
        <v>5950</v>
      </c>
    </row>
    <row r="65" spans="1:5" x14ac:dyDescent="0.3">
      <c r="A65" s="2">
        <v>44</v>
      </c>
      <c r="B65" s="3">
        <v>46083</v>
      </c>
      <c r="C65" s="15" t="s">
        <v>35</v>
      </c>
      <c r="D65" s="2">
        <v>1</v>
      </c>
      <c r="E65" s="12">
        <f>D65 * _xlfn.XLOOKUP(C65, Inventario!G:G, Inventario!D:D, 0)</f>
        <v>24990</v>
      </c>
    </row>
    <row r="66" spans="1:5" x14ac:dyDescent="0.3">
      <c r="A66" s="2">
        <v>45</v>
      </c>
      <c r="B66" s="3">
        <v>46083</v>
      </c>
      <c r="C66" s="15" t="s">
        <v>46</v>
      </c>
      <c r="D66" s="2">
        <v>1</v>
      </c>
      <c r="E66" s="12">
        <f>D66 * _xlfn.XLOOKUP(C66, Inventario!G:G, Inventario!D:D, 0)</f>
        <v>5950</v>
      </c>
    </row>
    <row r="67" spans="1:5" x14ac:dyDescent="0.3">
      <c r="A67" s="2">
        <v>46</v>
      </c>
      <c r="B67" s="3">
        <v>46083</v>
      </c>
      <c r="C67" s="15" t="s">
        <v>35</v>
      </c>
      <c r="D67" s="2">
        <v>1</v>
      </c>
      <c r="E67" s="12">
        <f>D67 * _xlfn.XLOOKUP(C67, Inventario!G:G, Inventario!D:D, 0)</f>
        <v>24990</v>
      </c>
    </row>
    <row r="68" spans="1:5" x14ac:dyDescent="0.3">
      <c r="A68" s="2">
        <v>47</v>
      </c>
      <c r="B68" s="3">
        <v>46083</v>
      </c>
      <c r="C68" s="15" t="s">
        <v>35</v>
      </c>
      <c r="D68" s="2">
        <v>1</v>
      </c>
      <c r="E68" s="12">
        <f>D68 * _xlfn.XLOOKUP(C68, Inventario!G:G, Inventario!D:D, 0)</f>
        <v>24990</v>
      </c>
    </row>
    <row r="69" spans="1:5" x14ac:dyDescent="0.3">
      <c r="A69" s="2">
        <v>48</v>
      </c>
      <c r="B69" s="3">
        <v>46114</v>
      </c>
      <c r="C69" s="15" t="s">
        <v>46</v>
      </c>
      <c r="D69" s="2">
        <v>1</v>
      </c>
      <c r="E69" s="12">
        <f>D69 * _xlfn.XLOOKUP(C69, Inventario!G:G, Inventario!D:D, 0)</f>
        <v>5950</v>
      </c>
    </row>
    <row r="70" spans="1:5" x14ac:dyDescent="0.3">
      <c r="A70" s="2">
        <v>49</v>
      </c>
      <c r="B70" s="3">
        <v>46129</v>
      </c>
      <c r="C70" s="15" t="s">
        <v>35</v>
      </c>
      <c r="D70" s="2">
        <v>1</v>
      </c>
      <c r="E70" s="12">
        <f>D70 * _xlfn.XLOOKUP(C70, Inventario!G:G, Inventario!D:D, 0)</f>
        <v>24990</v>
      </c>
    </row>
    <row r="71" spans="1:5" x14ac:dyDescent="0.3">
      <c r="A71" s="2">
        <v>50</v>
      </c>
      <c r="B71" s="3">
        <v>46134</v>
      </c>
      <c r="C71" s="15" t="s">
        <v>46</v>
      </c>
      <c r="D71" s="2">
        <v>1</v>
      </c>
      <c r="E71" s="12">
        <f>D71 * _xlfn.XLOOKUP(C71, Inventario!G:G, Inventario!D:D, 0)</f>
        <v>5950</v>
      </c>
    </row>
    <row r="72" spans="1:5" x14ac:dyDescent="0.3">
      <c r="A72" s="2">
        <v>51</v>
      </c>
      <c r="B72" s="3">
        <v>46134</v>
      </c>
      <c r="C72" s="15" t="s">
        <v>46</v>
      </c>
      <c r="D72" s="2">
        <v>1</v>
      </c>
      <c r="E72" s="12">
        <f>D72 * _xlfn.XLOOKUP(C72, Inventario!G:G, Inventario!D:D, 0)</f>
        <v>5950</v>
      </c>
    </row>
    <row r="73" spans="1:5" x14ac:dyDescent="0.3">
      <c r="A73" s="2">
        <v>52</v>
      </c>
      <c r="B73" s="3">
        <v>46134</v>
      </c>
      <c r="C73" s="15" t="s">
        <v>46</v>
      </c>
      <c r="D73" s="2">
        <v>1</v>
      </c>
      <c r="E73" s="12">
        <f>D73 * _xlfn.XLOOKUP(C73, Inventario!G:G, Inventario!D:D, 0)</f>
        <v>5950</v>
      </c>
    </row>
    <row r="74" spans="1:5" x14ac:dyDescent="0.3">
      <c r="A74" s="2">
        <v>53</v>
      </c>
      <c r="B74" s="3">
        <v>46134</v>
      </c>
      <c r="C74" s="15" t="s">
        <v>46</v>
      </c>
      <c r="D74" s="2">
        <v>1</v>
      </c>
      <c r="E74" s="12">
        <f>D74 * _xlfn.XLOOKUP(C74, Inventario!G:G, Inventario!D:D, 0)</f>
        <v>5950</v>
      </c>
    </row>
    <row r="75" spans="1:5" x14ac:dyDescent="0.3">
      <c r="A75" s="2">
        <v>54</v>
      </c>
      <c r="B75" s="3">
        <v>46134</v>
      </c>
      <c r="C75" s="15" t="s">
        <v>46</v>
      </c>
      <c r="D75" s="2">
        <v>1</v>
      </c>
      <c r="E75" s="12">
        <f>D75 * _xlfn.XLOOKUP(C75, Inventario!G:G, Inventario!D:D, 0)</f>
        <v>5950</v>
      </c>
    </row>
    <row r="76" spans="1:5" x14ac:dyDescent="0.3">
      <c r="A76" s="2">
        <v>55</v>
      </c>
      <c r="B76" s="3">
        <v>46134</v>
      </c>
      <c r="C76" s="15" t="s">
        <v>46</v>
      </c>
      <c r="D76" s="2">
        <v>1</v>
      </c>
      <c r="E76" s="12">
        <f>D76 * _xlfn.XLOOKUP(C76, Inventario!G:G, Inventario!D:D, 0)</f>
        <v>5950</v>
      </c>
    </row>
    <row r="77" spans="1:5" x14ac:dyDescent="0.3">
      <c r="A77" s="2">
        <v>56</v>
      </c>
      <c r="B77" s="3">
        <v>46134</v>
      </c>
      <c r="C77" s="15" t="s">
        <v>46</v>
      </c>
      <c r="D77" s="2">
        <v>1</v>
      </c>
      <c r="E77" s="12">
        <f>D77 * _xlfn.XLOOKUP(C77, Inventario!G:G, Inventario!D:D, 0)</f>
        <v>5950</v>
      </c>
    </row>
    <row r="78" spans="1:5" x14ac:dyDescent="0.3">
      <c r="A78" s="2">
        <v>57</v>
      </c>
      <c r="B78" s="3">
        <v>46135</v>
      </c>
      <c r="C78" s="15" t="s">
        <v>45</v>
      </c>
      <c r="D78" s="2">
        <v>1</v>
      </c>
      <c r="E78" s="12">
        <f>D78 * _xlfn.XLOOKUP(C78, Inventario!G:G, Inventario!D:D, 0)</f>
        <v>6950</v>
      </c>
    </row>
    <row r="79" spans="1:5" x14ac:dyDescent="0.3">
      <c r="A79" s="2">
        <v>58</v>
      </c>
      <c r="B79" s="3">
        <v>46135</v>
      </c>
      <c r="C79" s="15" t="s">
        <v>44</v>
      </c>
      <c r="D79" s="2">
        <v>1</v>
      </c>
      <c r="E79" s="12">
        <f>D79 * _xlfn.XLOOKUP(C79, Inventario!G:G, Inventario!D:D, 0)</f>
        <v>5950</v>
      </c>
    </row>
    <row r="80" spans="1:5" x14ac:dyDescent="0.3">
      <c r="A80" s="2">
        <v>59</v>
      </c>
      <c r="B80" s="3">
        <v>46139</v>
      </c>
      <c r="C80" s="15" t="s">
        <v>46</v>
      </c>
      <c r="D80" s="2">
        <v>1</v>
      </c>
      <c r="E80" s="12">
        <f>D80 * _xlfn.XLOOKUP(C80, Inventario!G:G, Inventario!D:D, 0)</f>
        <v>5950</v>
      </c>
    </row>
    <row r="81" spans="1:5" x14ac:dyDescent="0.3">
      <c r="A81" s="2">
        <v>60</v>
      </c>
      <c r="B81" s="3">
        <v>46139</v>
      </c>
      <c r="C81" s="15" t="s">
        <v>46</v>
      </c>
      <c r="D81" s="2">
        <v>1</v>
      </c>
      <c r="E81" s="12">
        <f>D81 * _xlfn.XLOOKUP(C81, Inventario!G:G, Inventario!D:D, 0)</f>
        <v>5950</v>
      </c>
    </row>
    <row r="82" spans="1:5" x14ac:dyDescent="0.3">
      <c r="A82" s="2">
        <v>61</v>
      </c>
      <c r="B82" s="3">
        <v>46139</v>
      </c>
      <c r="C82" s="15" t="s">
        <v>46</v>
      </c>
      <c r="D82" s="2">
        <v>1</v>
      </c>
      <c r="E82" s="12">
        <f>D82 * _xlfn.XLOOKUP(C82, Inventario!G:G, Inventario!D:D, 0)</f>
        <v>5950</v>
      </c>
    </row>
    <row r="83" spans="1:5" x14ac:dyDescent="0.3">
      <c r="A83" s="2">
        <v>62</v>
      </c>
      <c r="B83" s="3">
        <v>46139</v>
      </c>
      <c r="C83" s="15" t="s">
        <v>46</v>
      </c>
      <c r="D83" s="2">
        <v>1</v>
      </c>
      <c r="E83" s="12">
        <f>D83 * _xlfn.XLOOKUP(C83, Inventario!G:G, Inventario!D:D, 0)</f>
        <v>5950</v>
      </c>
    </row>
    <row r="84" spans="1:5" x14ac:dyDescent="0.3">
      <c r="A84" s="2">
        <v>63</v>
      </c>
      <c r="B84" s="3">
        <v>46139</v>
      </c>
      <c r="C84" s="15" t="s">
        <v>46</v>
      </c>
      <c r="D84" s="2">
        <v>1</v>
      </c>
      <c r="E84" s="12">
        <f>D84 * _xlfn.XLOOKUP(C84, Inventario!G:G, Inventario!D:D, 0)</f>
        <v>5950</v>
      </c>
    </row>
    <row r="85" spans="1:5" x14ac:dyDescent="0.3">
      <c r="A85" s="2">
        <v>64</v>
      </c>
      <c r="B85" s="3">
        <v>46141</v>
      </c>
      <c r="C85" s="15" t="s">
        <v>46</v>
      </c>
      <c r="D85" s="2">
        <v>1</v>
      </c>
      <c r="E85" s="12">
        <f>D85 * _xlfn.XLOOKUP(C85, Inventario!G:G, Inventario!D:D, 0)</f>
        <v>5950</v>
      </c>
    </row>
    <row r="86" spans="1:5" x14ac:dyDescent="0.3">
      <c r="A86" s="2">
        <v>65</v>
      </c>
      <c r="B86" s="3">
        <v>46141</v>
      </c>
      <c r="C86" s="15" t="s">
        <v>46</v>
      </c>
      <c r="D86" s="2">
        <v>3</v>
      </c>
      <c r="E86" s="12">
        <f>D86 * _xlfn.XLOOKUP(C86, Inventario!G:G, Inventario!D:D, 0)</f>
        <v>17850</v>
      </c>
    </row>
    <row r="87" spans="1:5" x14ac:dyDescent="0.3">
      <c r="A87" s="2">
        <v>66</v>
      </c>
      <c r="B87" s="3">
        <v>46141</v>
      </c>
      <c r="C87" s="15" t="s">
        <v>40</v>
      </c>
      <c r="D87" s="2">
        <v>1</v>
      </c>
      <c r="E87" s="12">
        <f>D87 * _xlfn.XLOOKUP(C87, Inventario!G:G, Inventario!D:D, 0)</f>
        <v>24990</v>
      </c>
    </row>
    <row r="88" spans="1:5" x14ac:dyDescent="0.3">
      <c r="A88" s="2">
        <v>67</v>
      </c>
      <c r="B88" s="3">
        <v>46142</v>
      </c>
      <c r="C88" s="15" t="s">
        <v>43</v>
      </c>
      <c r="D88" s="2">
        <v>4</v>
      </c>
      <c r="E88" s="12">
        <f>D88 * _xlfn.XLOOKUP(C88, Inventario!G:G, Inventario!D:D, 0)</f>
        <v>64000</v>
      </c>
    </row>
    <row r="89" spans="1:5" x14ac:dyDescent="0.3">
      <c r="A89" s="2">
        <v>68</v>
      </c>
      <c r="B89" s="3">
        <v>46142</v>
      </c>
      <c r="C89" s="15" t="s">
        <v>46</v>
      </c>
      <c r="D89" s="2">
        <v>1</v>
      </c>
      <c r="E89" s="12">
        <f>D89 * _xlfn.XLOOKUP(C89, Inventario!G:G, Inventario!D:D, 0)</f>
        <v>5950</v>
      </c>
    </row>
    <row r="90" spans="1:5" x14ac:dyDescent="0.3">
      <c r="A90" s="2">
        <v>69</v>
      </c>
      <c r="B90" s="3">
        <v>46146</v>
      </c>
      <c r="C90" s="15" t="s">
        <v>39</v>
      </c>
      <c r="D90" s="2">
        <v>1</v>
      </c>
      <c r="E90" s="12">
        <f>D90 * _xlfn.XLOOKUP(C90, Inventario!G:G, Inventario!D:D, 0)</f>
        <v>24990</v>
      </c>
    </row>
    <row r="91" spans="1:5" x14ac:dyDescent="0.3">
      <c r="A91" s="2">
        <v>69</v>
      </c>
      <c r="B91" s="3">
        <v>46146</v>
      </c>
      <c r="C91" s="15" t="s">
        <v>44</v>
      </c>
      <c r="D91" s="2">
        <v>2</v>
      </c>
      <c r="E91" s="12">
        <f>D91 * _xlfn.XLOOKUP(C91, Inventario!G:G, Inventario!D:D, 0)</f>
        <v>11900</v>
      </c>
    </row>
    <row r="92" spans="1:5" x14ac:dyDescent="0.3">
      <c r="A92" s="2">
        <v>70</v>
      </c>
      <c r="B92" s="3">
        <v>46146</v>
      </c>
      <c r="C92" s="15" t="s">
        <v>44</v>
      </c>
      <c r="D92" s="2">
        <v>1</v>
      </c>
      <c r="E92" s="12">
        <f>D92 * _xlfn.XLOOKUP(C92, Inventario!G:G, Inventario!D:D, 0)</f>
        <v>5950</v>
      </c>
    </row>
    <row r="93" spans="1:5" x14ac:dyDescent="0.3">
      <c r="A93" s="2">
        <v>71</v>
      </c>
      <c r="B93" s="3">
        <v>46149</v>
      </c>
      <c r="C93" s="15" t="s">
        <v>47</v>
      </c>
      <c r="D93" s="2">
        <v>1</v>
      </c>
      <c r="E93" s="12">
        <f>D93 * _xlfn.XLOOKUP(C93, Inventario!G:G, Inventario!D:D, 0)</f>
        <v>12000</v>
      </c>
    </row>
    <row r="94" spans="1:5" x14ac:dyDescent="0.3">
      <c r="A94" s="2">
        <v>72</v>
      </c>
      <c r="B94" s="3">
        <v>46153</v>
      </c>
      <c r="C94" s="15" t="s">
        <v>47</v>
      </c>
      <c r="D94" s="2">
        <v>1</v>
      </c>
      <c r="E94" s="12">
        <f>D94 * _xlfn.XLOOKUP(C94, Inventario!G:G, Inventario!D:D, 0)</f>
        <v>12000</v>
      </c>
    </row>
    <row r="95" spans="1:5" x14ac:dyDescent="0.3">
      <c r="A95" s="2">
        <v>75</v>
      </c>
      <c r="B95" s="3">
        <v>46153</v>
      </c>
      <c r="C95" s="15" t="s">
        <v>47</v>
      </c>
      <c r="D95" s="2">
        <v>1</v>
      </c>
      <c r="E95" s="12">
        <f>D95 * _xlfn.XLOOKUP(C95, Inventario!G:G, Inventario!D:D, 0)</f>
        <v>12000</v>
      </c>
    </row>
    <row r="96" spans="1:5" x14ac:dyDescent="0.3">
      <c r="A96" s="2">
        <v>76</v>
      </c>
      <c r="B96" s="3">
        <v>46155</v>
      </c>
      <c r="C96" s="15" t="s">
        <v>47</v>
      </c>
      <c r="D96" s="2">
        <v>1</v>
      </c>
      <c r="E96" s="12">
        <f>D96 * _xlfn.XLOOKUP(C96, Inventario!G:G, Inventario!D:D, 0)</f>
        <v>12000</v>
      </c>
    </row>
    <row r="97" spans="1:5" x14ac:dyDescent="0.3">
      <c r="A97" s="2">
        <v>77</v>
      </c>
      <c r="B97" s="3">
        <v>46155</v>
      </c>
      <c r="C97" s="15" t="s">
        <v>44</v>
      </c>
      <c r="D97" s="2">
        <v>1</v>
      </c>
      <c r="E97" s="12">
        <f>D97 * _xlfn.XLOOKUP(C97, Inventario!G:G, Inventario!D:D, 0)</f>
        <v>5950</v>
      </c>
    </row>
    <row r="98" spans="1:5" x14ac:dyDescent="0.3">
      <c r="A98" s="2">
        <v>78</v>
      </c>
      <c r="B98" s="3">
        <v>46155</v>
      </c>
      <c r="C98" s="15" t="s">
        <v>45</v>
      </c>
      <c r="D98" s="2">
        <v>1</v>
      </c>
      <c r="E98" s="12">
        <f>D98 * _xlfn.XLOOKUP(C98, Inventario!G:G, Inventario!D:D, 0)</f>
        <v>6950</v>
      </c>
    </row>
    <row r="99" spans="1:5" x14ac:dyDescent="0.3">
      <c r="A99" s="2">
        <v>79</v>
      </c>
      <c r="B99" s="3">
        <v>46155</v>
      </c>
      <c r="C99" s="15" t="s">
        <v>40</v>
      </c>
      <c r="D99" s="2">
        <v>1</v>
      </c>
      <c r="E99" s="12">
        <f>D99 * _xlfn.XLOOKUP(C99, Inventario!G:G, Inventario!D:D, 0)</f>
        <v>24990</v>
      </c>
    </row>
    <row r="100" spans="1:5" x14ac:dyDescent="0.3">
      <c r="A100" s="2">
        <v>80</v>
      </c>
      <c r="B100" s="3">
        <v>46169</v>
      </c>
      <c r="C100" s="15" t="s">
        <v>47</v>
      </c>
      <c r="D100" s="2">
        <v>1</v>
      </c>
      <c r="E100" s="12">
        <f>D100 * _xlfn.XLOOKUP(C100, Inventario!G:G, Inventario!D:D, 0)</f>
        <v>12000</v>
      </c>
    </row>
    <row r="101" spans="1:5" x14ac:dyDescent="0.3">
      <c r="A101" s="2">
        <v>81</v>
      </c>
      <c r="B101" s="3">
        <v>46170</v>
      </c>
      <c r="C101" s="15" t="s">
        <v>46</v>
      </c>
      <c r="D101" s="2">
        <v>1</v>
      </c>
      <c r="E101" s="12">
        <f>D101 * _xlfn.XLOOKUP(C101, Inventario!G:G, Inventario!D:D, 0)</f>
        <v>5950</v>
      </c>
    </row>
    <row r="102" spans="1:5" x14ac:dyDescent="0.3">
      <c r="A102" s="2">
        <v>83</v>
      </c>
      <c r="B102" s="3">
        <v>46172</v>
      </c>
      <c r="C102" s="15" t="s">
        <v>48</v>
      </c>
      <c r="D102" s="2">
        <v>1</v>
      </c>
      <c r="E102" s="12">
        <f>D102 * _xlfn.XLOOKUP(C102, Inventario!G:G, Inventario!D:D, 0)</f>
        <v>2500</v>
      </c>
    </row>
    <row r="103" spans="1:5" x14ac:dyDescent="0.3">
      <c r="A103" s="2">
        <v>84</v>
      </c>
      <c r="B103" s="3">
        <v>46172</v>
      </c>
      <c r="C103" s="15" t="s">
        <v>47</v>
      </c>
      <c r="D103" s="2">
        <v>1</v>
      </c>
      <c r="E103" s="12">
        <f>D103 * _xlfn.XLOOKUP(C103, Inventario!G:G, Inventario!D:D, 0)</f>
        <v>12000</v>
      </c>
    </row>
    <row r="104" spans="1:5" x14ac:dyDescent="0.3">
      <c r="A104" s="2">
        <v>85</v>
      </c>
      <c r="B104" s="3">
        <v>46172</v>
      </c>
      <c r="C104" s="15" t="s">
        <v>46</v>
      </c>
      <c r="D104" s="2">
        <v>1</v>
      </c>
      <c r="E104" s="12">
        <f>D104 * _xlfn.XLOOKUP(C104, Inventario!G:G, Inventario!D:D, 0)</f>
        <v>5950</v>
      </c>
    </row>
    <row r="105" spans="1:5" x14ac:dyDescent="0.3">
      <c r="A105" s="2">
        <v>86</v>
      </c>
      <c r="B105" s="3">
        <v>46172</v>
      </c>
      <c r="C105" s="15" t="s">
        <v>47</v>
      </c>
      <c r="D105" s="2">
        <v>2</v>
      </c>
      <c r="E105" s="12">
        <f>D105 * _xlfn.XLOOKUP(C105, Inventario!G:G, Inventario!D:D, 0)</f>
        <v>24000</v>
      </c>
    </row>
    <row r="106" spans="1:5" x14ac:dyDescent="0.3">
      <c r="A106" s="2">
        <v>86</v>
      </c>
      <c r="B106" s="3">
        <v>46172</v>
      </c>
      <c r="C106" s="15" t="s">
        <v>48</v>
      </c>
      <c r="D106" s="2">
        <v>1</v>
      </c>
      <c r="E106" s="12">
        <f>D106 * _xlfn.XLOOKUP(C106, Inventario!G:G, Inventario!D:D, 0)</f>
        <v>2500</v>
      </c>
    </row>
    <row r="107" spans="1:5" x14ac:dyDescent="0.3">
      <c r="A107" s="2">
        <v>87</v>
      </c>
      <c r="B107" s="3">
        <v>46172</v>
      </c>
      <c r="C107" s="15" t="s">
        <v>48</v>
      </c>
      <c r="D107" s="2">
        <v>1</v>
      </c>
      <c r="E107" s="12">
        <f>D107 * _xlfn.XLOOKUP(C107, Inventario!G:G, Inventario!D:D, 0)</f>
        <v>2500</v>
      </c>
    </row>
    <row r="108" spans="1:5" x14ac:dyDescent="0.3">
      <c r="A108" s="2">
        <v>88</v>
      </c>
      <c r="B108" s="3">
        <v>46172</v>
      </c>
      <c r="C108" s="15" t="s">
        <v>48</v>
      </c>
      <c r="D108" s="2">
        <v>1</v>
      </c>
      <c r="E108" s="12">
        <f>D108 * _xlfn.XLOOKUP(C108, Inventario!G:G, Inventario!D:D, 0)</f>
        <v>2500</v>
      </c>
    </row>
    <row r="109" spans="1:5" x14ac:dyDescent="0.3">
      <c r="A109" s="2">
        <v>89</v>
      </c>
      <c r="B109" s="3">
        <v>46172</v>
      </c>
      <c r="C109" s="15" t="s">
        <v>48</v>
      </c>
      <c r="D109" s="2">
        <v>1</v>
      </c>
      <c r="E109" s="12">
        <f>D109 * _xlfn.XLOOKUP(C109, Inventario!G:G, Inventario!D:D, 0)</f>
        <v>2500</v>
      </c>
    </row>
    <row r="110" spans="1:5" x14ac:dyDescent="0.3">
      <c r="A110" s="2">
        <v>89</v>
      </c>
      <c r="B110" s="3">
        <v>46172</v>
      </c>
      <c r="C110" s="15" t="s">
        <v>48</v>
      </c>
      <c r="D110" s="2">
        <v>1</v>
      </c>
      <c r="E110" s="12">
        <f>D110 * _xlfn.XLOOKUP(C110, Inventario!G:G, Inventario!D:D, 0)</f>
        <v>2500</v>
      </c>
    </row>
    <row r="111" spans="1:5" x14ac:dyDescent="0.3">
      <c r="A111" s="2">
        <v>89</v>
      </c>
      <c r="B111" s="3">
        <v>46172</v>
      </c>
      <c r="C111" s="15" t="s">
        <v>47</v>
      </c>
      <c r="D111" s="2">
        <v>1</v>
      </c>
      <c r="E111" s="12">
        <f>D111 * _xlfn.XLOOKUP(C111, Inventario!G:G, Inventario!D:D, 0)</f>
        <v>12000</v>
      </c>
    </row>
    <row r="112" spans="1:5" x14ac:dyDescent="0.3">
      <c r="A112" s="2">
        <v>91</v>
      </c>
      <c r="B112" s="3">
        <v>46172</v>
      </c>
      <c r="C112" s="15" t="s">
        <v>48</v>
      </c>
      <c r="D112" s="2">
        <v>1</v>
      </c>
      <c r="E112" s="12">
        <f>D112 * _xlfn.XLOOKUP(C112, Inventario!G:G, Inventario!D:D, 0)</f>
        <v>2500</v>
      </c>
    </row>
    <row r="113" spans="1:5" x14ac:dyDescent="0.3">
      <c r="A113" s="2">
        <v>92</v>
      </c>
      <c r="B113" s="3">
        <v>46172</v>
      </c>
      <c r="C113" s="15" t="s">
        <v>48</v>
      </c>
      <c r="D113" s="2">
        <v>2</v>
      </c>
      <c r="E113" s="12">
        <f>D113 * _xlfn.XLOOKUP(C113, Inventario!G:G, Inventario!D:D, 0)</f>
        <v>5000</v>
      </c>
    </row>
    <row r="114" spans="1:5" x14ac:dyDescent="0.3">
      <c r="A114" s="2">
        <v>90</v>
      </c>
      <c r="B114" s="3">
        <v>46172</v>
      </c>
      <c r="C114" s="15" t="s">
        <v>48</v>
      </c>
      <c r="D114" s="2">
        <v>1</v>
      </c>
      <c r="E114" s="12">
        <f>D114 * _xlfn.XLOOKUP(C114, Inventario!G:G, Inventario!D:D, 0)</f>
        <v>2500</v>
      </c>
    </row>
    <row r="115" spans="1:5" x14ac:dyDescent="0.3">
      <c r="A115" s="2">
        <v>90</v>
      </c>
      <c r="B115" s="3">
        <v>46172</v>
      </c>
      <c r="C115" s="15" t="s">
        <v>48</v>
      </c>
      <c r="D115" s="2">
        <v>1</v>
      </c>
      <c r="E115" s="12">
        <f>D115 * _xlfn.XLOOKUP(C115, Inventario!G:G, Inventario!D:D, 0)</f>
        <v>2500</v>
      </c>
    </row>
    <row r="116" spans="1:5" x14ac:dyDescent="0.3">
      <c r="A116" s="2">
        <v>93</v>
      </c>
      <c r="B116" s="3">
        <v>46172</v>
      </c>
      <c r="C116" s="15" t="s">
        <v>46</v>
      </c>
      <c r="D116" s="2">
        <v>1</v>
      </c>
      <c r="E116" s="12">
        <f>D116 * _xlfn.XLOOKUP(C116, Inventario!G:G, Inventario!D:D, 0)</f>
        <v>5950</v>
      </c>
    </row>
    <row r="117" spans="1:5" x14ac:dyDescent="0.3">
      <c r="A117" s="2">
        <v>93</v>
      </c>
      <c r="B117" s="3">
        <v>46172</v>
      </c>
      <c r="C117" s="15" t="s">
        <v>48</v>
      </c>
      <c r="D117" s="2">
        <v>1</v>
      </c>
      <c r="E117" s="12">
        <f>D117 * _xlfn.XLOOKUP(C117, Inventario!G:G, Inventario!D:D, 0)</f>
        <v>2500</v>
      </c>
    </row>
    <row r="118" spans="1:5" x14ac:dyDescent="0.3">
      <c r="A118" s="2">
        <v>94</v>
      </c>
      <c r="B118" s="3">
        <v>46172</v>
      </c>
      <c r="C118" s="15" t="s">
        <v>48</v>
      </c>
      <c r="D118" s="2">
        <v>3</v>
      </c>
      <c r="E118" s="12">
        <f>D118 * _xlfn.XLOOKUP(C118, Inventario!G:G, Inventario!D:D, 0)</f>
        <v>7500</v>
      </c>
    </row>
    <row r="119" spans="1:5" x14ac:dyDescent="0.3">
      <c r="A119" s="2">
        <v>94</v>
      </c>
      <c r="B119" s="3">
        <v>46172</v>
      </c>
      <c r="C119" s="15" t="s">
        <v>48</v>
      </c>
      <c r="D119" s="2">
        <v>1</v>
      </c>
      <c r="E119" s="12">
        <f>D119 * _xlfn.XLOOKUP(C119, Inventario!G:G, Inventario!D:D, 0)</f>
        <v>2500</v>
      </c>
    </row>
    <row r="120" spans="1:5" x14ac:dyDescent="0.3">
      <c r="A120" s="2">
        <v>95</v>
      </c>
      <c r="B120" s="3">
        <v>46172</v>
      </c>
      <c r="C120" s="15" t="s">
        <v>48</v>
      </c>
      <c r="D120" s="2">
        <v>1</v>
      </c>
      <c r="E120" s="12">
        <f>D120 * _xlfn.XLOOKUP(C120, Inventario!G:G, Inventario!D:D, 0)</f>
        <v>2500</v>
      </c>
    </row>
    <row r="121" spans="1:5" x14ac:dyDescent="0.3">
      <c r="A121" s="2">
        <v>96</v>
      </c>
      <c r="B121" s="3">
        <v>46172</v>
      </c>
      <c r="C121" s="15" t="s">
        <v>48</v>
      </c>
      <c r="D121" s="2">
        <v>1</v>
      </c>
      <c r="E121" s="12">
        <f>D121 * _xlfn.XLOOKUP(C121, Inventario!G:G, Inventario!D:D, 0)</f>
        <v>2500</v>
      </c>
    </row>
    <row r="122" spans="1:5" x14ac:dyDescent="0.3">
      <c r="A122" s="2">
        <v>96</v>
      </c>
      <c r="B122" s="3">
        <v>46172</v>
      </c>
      <c r="C122" s="15" t="s">
        <v>48</v>
      </c>
      <c r="D122" s="2">
        <v>1</v>
      </c>
      <c r="E122" s="12">
        <f>D122 * _xlfn.XLOOKUP(C122, Inventario!G:G, Inventario!D:D, 0)</f>
        <v>2500</v>
      </c>
    </row>
    <row r="123" spans="1:5" x14ac:dyDescent="0.3">
      <c r="A123" s="2">
        <v>96</v>
      </c>
      <c r="B123" s="3">
        <v>46172</v>
      </c>
      <c r="C123" s="15" t="s">
        <v>48</v>
      </c>
      <c r="D123" s="2">
        <v>1</v>
      </c>
      <c r="E123" s="12">
        <f>D123 * _xlfn.XLOOKUP(C123, Inventario!G:G, Inventario!D:D, 0)</f>
        <v>2500</v>
      </c>
    </row>
    <row r="124" spans="1:5" x14ac:dyDescent="0.3">
      <c r="A124" s="2">
        <v>96</v>
      </c>
      <c r="B124" s="3">
        <v>46172</v>
      </c>
      <c r="C124" s="15" t="s">
        <v>48</v>
      </c>
      <c r="D124" s="2">
        <v>1</v>
      </c>
      <c r="E124" s="12">
        <f>D124 * _xlfn.XLOOKUP(C124, Inventario!G:G, Inventario!D:D, 0)</f>
        <v>2500</v>
      </c>
    </row>
    <row r="125" spans="1:5" x14ac:dyDescent="0.3">
      <c r="A125" s="2">
        <v>97</v>
      </c>
      <c r="B125" s="3">
        <v>46174</v>
      </c>
      <c r="C125" s="15" t="s">
        <v>48</v>
      </c>
      <c r="D125" s="2">
        <v>1</v>
      </c>
      <c r="E125" s="12">
        <f>D125 * _xlfn.XLOOKUP(C125, Inventario!G:G, Inventario!D:D, 0)</f>
        <v>2500</v>
      </c>
    </row>
    <row r="126" spans="1:5" x14ac:dyDescent="0.3">
      <c r="A126" s="2">
        <v>97</v>
      </c>
      <c r="B126" s="3">
        <v>46174</v>
      </c>
      <c r="C126" s="15" t="s">
        <v>46</v>
      </c>
      <c r="D126" s="2">
        <v>1</v>
      </c>
      <c r="E126" s="12">
        <f>D126 * _xlfn.XLOOKUP(C126, Inventario!G:G, Inventario!D:D, 0)</f>
        <v>5950</v>
      </c>
    </row>
    <row r="127" spans="1:5" x14ac:dyDescent="0.3">
      <c r="A127" s="2">
        <v>98</v>
      </c>
      <c r="B127" s="3">
        <v>46178</v>
      </c>
      <c r="C127" s="15" t="s">
        <v>48</v>
      </c>
      <c r="D127" s="2">
        <v>1</v>
      </c>
      <c r="E127" s="12">
        <f>D127 * _xlfn.XLOOKUP(C127, Inventario!G:G, Inventario!D:D, 0)</f>
        <v>2500</v>
      </c>
    </row>
    <row r="128" spans="1:5" x14ac:dyDescent="0.3">
      <c r="A128" s="2">
        <v>99</v>
      </c>
      <c r="B128" s="3">
        <v>46178</v>
      </c>
      <c r="C128" s="15" t="s">
        <v>46</v>
      </c>
      <c r="D128" s="2">
        <v>1</v>
      </c>
      <c r="E128" s="12">
        <f>D128 * _xlfn.XLOOKUP(C128, Inventario!G:G, Inventario!D:D, 0)</f>
        <v>5950</v>
      </c>
    </row>
    <row r="129" spans="1:5" x14ac:dyDescent="0.3">
      <c r="A129" s="2">
        <v>100</v>
      </c>
      <c r="B129" s="3">
        <v>46178</v>
      </c>
      <c r="C129" s="15" t="s">
        <v>40</v>
      </c>
      <c r="D129" s="2">
        <v>1</v>
      </c>
      <c r="E129" s="12">
        <f>D129 * _xlfn.XLOOKUP(C129, Inventario!G:G, Inventario!D:D, 0)</f>
        <v>24990</v>
      </c>
    </row>
    <row r="130" spans="1:5" x14ac:dyDescent="0.3">
      <c r="A130" s="2">
        <v>101</v>
      </c>
      <c r="B130" s="3">
        <v>46178</v>
      </c>
      <c r="C130" s="15" t="s">
        <v>47</v>
      </c>
      <c r="D130" s="2">
        <v>1</v>
      </c>
      <c r="E130" s="12">
        <f>D130 * _xlfn.XLOOKUP(C130, Inventario!G:G, Inventario!D:D, 0)</f>
        <v>12000</v>
      </c>
    </row>
    <row r="131" spans="1:5" x14ac:dyDescent="0.3">
      <c r="A131" s="2">
        <v>102</v>
      </c>
      <c r="B131" s="3">
        <v>46179</v>
      </c>
      <c r="C131" s="15" t="s">
        <v>46</v>
      </c>
      <c r="D131" s="2">
        <v>1</v>
      </c>
      <c r="E131" s="12">
        <f>D131 * _xlfn.XLOOKUP(C131, Inventario!G:G, Inventario!D:D, 0)</f>
        <v>5950</v>
      </c>
    </row>
    <row r="132" spans="1:5" x14ac:dyDescent="0.3">
      <c r="A132" s="2">
        <v>102</v>
      </c>
      <c r="B132" s="3">
        <v>46179</v>
      </c>
      <c r="C132" s="15" t="s">
        <v>46</v>
      </c>
      <c r="D132" s="2">
        <v>1</v>
      </c>
      <c r="E132" s="12">
        <f>D132 * _xlfn.XLOOKUP(C132, Inventario!G:G, Inventario!D:D, 0)</f>
        <v>5950</v>
      </c>
    </row>
    <row r="133" spans="1:5" x14ac:dyDescent="0.3">
      <c r="A133" s="2">
        <v>103</v>
      </c>
      <c r="B133" s="3">
        <v>46179</v>
      </c>
      <c r="C133" s="15" t="s">
        <v>46</v>
      </c>
      <c r="D133" s="2">
        <v>1</v>
      </c>
      <c r="E133" s="12">
        <f>D133 * _xlfn.XLOOKUP(C133, Inventario!G:G, Inventario!D:D, 0)</f>
        <v>5950</v>
      </c>
    </row>
    <row r="134" spans="1:5" x14ac:dyDescent="0.3">
      <c r="A134" s="2">
        <v>104</v>
      </c>
      <c r="B134" s="3">
        <v>46179</v>
      </c>
      <c r="C134" s="15" t="s">
        <v>47</v>
      </c>
      <c r="D134" s="2">
        <v>1</v>
      </c>
      <c r="E134" s="12">
        <f>D134 * _xlfn.XLOOKUP(C134, Inventario!G:G, Inventario!D:D, 0)</f>
        <v>12000</v>
      </c>
    </row>
    <row r="135" spans="1:5" x14ac:dyDescent="0.3">
      <c r="A135" s="2">
        <v>105</v>
      </c>
      <c r="B135" s="3">
        <v>46179</v>
      </c>
      <c r="C135" s="15" t="s">
        <v>45</v>
      </c>
      <c r="D135" s="2">
        <v>1</v>
      </c>
      <c r="E135" s="12">
        <f>D135 * _xlfn.XLOOKUP(C135, Inventario!G:G, Inventario!D:D, 0)</f>
        <v>6950</v>
      </c>
    </row>
    <row r="136" spans="1:5" x14ac:dyDescent="0.3">
      <c r="A136" s="2">
        <v>105</v>
      </c>
      <c r="B136" s="3">
        <v>46181</v>
      </c>
      <c r="C136" s="15" t="s">
        <v>47</v>
      </c>
      <c r="D136" s="2">
        <v>1</v>
      </c>
      <c r="E136" s="12">
        <f>D136 * _xlfn.XLOOKUP(C136, Inventario!G:G, Inventario!D:D, 0)</f>
        <v>12000</v>
      </c>
    </row>
    <row r="137" spans="1:5" x14ac:dyDescent="0.3">
      <c r="A137" s="2">
        <v>105</v>
      </c>
      <c r="B137" s="3">
        <v>46186</v>
      </c>
      <c r="C137" s="15" t="s">
        <v>46</v>
      </c>
      <c r="D137" s="2">
        <v>1</v>
      </c>
      <c r="E137" s="12">
        <f>D137 * _xlfn.XLOOKUP(C137, Inventario!G:G, Inventario!D:D, 0)</f>
        <v>5950</v>
      </c>
    </row>
    <row r="138" spans="1:5" x14ac:dyDescent="0.3">
      <c r="A138" s="2">
        <v>106</v>
      </c>
      <c r="B138" s="3">
        <v>46186</v>
      </c>
      <c r="C138" s="15" t="s">
        <v>41</v>
      </c>
      <c r="D138" s="2">
        <v>1</v>
      </c>
      <c r="E138" s="12">
        <f>D138 * _xlfn.XLOOKUP(C138, Inventario!G:G, Inventario!D:D, 0)</f>
        <v>24990</v>
      </c>
    </row>
    <row r="139" spans="1:5" x14ac:dyDescent="0.3">
      <c r="A139" s="2">
        <v>107</v>
      </c>
      <c r="B139" s="3">
        <v>46186</v>
      </c>
      <c r="C139" s="15" t="s">
        <v>46</v>
      </c>
      <c r="D139" s="2">
        <v>1</v>
      </c>
      <c r="E139" s="12">
        <f>D139 * _xlfn.XLOOKUP(C139, Inventario!G:G, Inventario!D:D, 0)</f>
        <v>5950</v>
      </c>
    </row>
    <row r="140" spans="1:5" x14ac:dyDescent="0.3">
      <c r="A140" s="2">
        <v>108</v>
      </c>
      <c r="B140" s="3">
        <v>46186</v>
      </c>
      <c r="C140" s="15" t="s">
        <v>47</v>
      </c>
      <c r="D140" s="2">
        <v>1</v>
      </c>
      <c r="E140" s="12">
        <f>D140 * _xlfn.XLOOKUP(C140, Inventario!G:G, Inventario!D:D, 0)</f>
        <v>12000</v>
      </c>
    </row>
    <row r="141" spans="1:5" x14ac:dyDescent="0.3">
      <c r="A141" s="2">
        <v>109</v>
      </c>
      <c r="B141" s="3">
        <v>46186</v>
      </c>
      <c r="C141" s="15" t="s">
        <v>47</v>
      </c>
      <c r="D141" s="2">
        <v>2</v>
      </c>
      <c r="E141" s="12">
        <f>D141 * _xlfn.XLOOKUP(C141, Inventario!G:G, Inventario!D:D, 0)</f>
        <v>24000</v>
      </c>
    </row>
    <row r="142" spans="1:5" x14ac:dyDescent="0.3">
      <c r="A142" s="2">
        <v>110</v>
      </c>
      <c r="B142" s="3">
        <v>46186</v>
      </c>
      <c r="C142" s="15" t="s">
        <v>46</v>
      </c>
      <c r="D142" s="2">
        <v>1</v>
      </c>
      <c r="E142" s="12">
        <f>D142 * _xlfn.XLOOKUP(C142, Inventario!G:G, Inventario!D:D, 0)</f>
        <v>5950</v>
      </c>
    </row>
    <row r="143" spans="1:5" x14ac:dyDescent="0.3">
      <c r="A143" s="2">
        <v>111</v>
      </c>
      <c r="B143" s="3">
        <v>46186</v>
      </c>
      <c r="C143" s="15" t="s">
        <v>48</v>
      </c>
      <c r="D143" s="2">
        <v>1</v>
      </c>
      <c r="E143" s="12">
        <f>D143 * _xlfn.XLOOKUP(C143, Inventario!G:G, Inventario!D:D, 0)</f>
        <v>2500</v>
      </c>
    </row>
    <row r="144" spans="1:5" x14ac:dyDescent="0.3">
      <c r="A144" s="2">
        <v>112</v>
      </c>
      <c r="B144" s="3">
        <v>46186</v>
      </c>
      <c r="C144" s="15" t="s">
        <v>47</v>
      </c>
      <c r="D144" s="2">
        <v>1</v>
      </c>
      <c r="E144" s="12">
        <f>D144 * _xlfn.XLOOKUP(C144, Inventario!G:G, Inventario!D:D, 0)</f>
        <v>12000</v>
      </c>
    </row>
    <row r="145" spans="1:5" x14ac:dyDescent="0.3">
      <c r="A145" s="2">
        <v>113</v>
      </c>
      <c r="B145" s="3">
        <v>46186</v>
      </c>
      <c r="C145" s="15" t="s">
        <v>46</v>
      </c>
      <c r="D145" s="2">
        <v>1</v>
      </c>
      <c r="E145" s="12">
        <f>D145 * _xlfn.XLOOKUP(C145, Inventario!G:G, Inventario!D:D, 0)</f>
        <v>5950</v>
      </c>
    </row>
    <row r="146" spans="1:5" x14ac:dyDescent="0.3">
      <c r="A146" s="2">
        <v>114</v>
      </c>
      <c r="B146" s="3">
        <v>46190</v>
      </c>
      <c r="C146" s="15" t="s">
        <v>48</v>
      </c>
      <c r="D146" s="2">
        <v>1</v>
      </c>
      <c r="E146" s="12">
        <f>D146 * _xlfn.XLOOKUP(C146, Inventario!G:G, Inventario!D:D, 0)</f>
        <v>2500</v>
      </c>
    </row>
    <row r="147" spans="1:5" x14ac:dyDescent="0.3">
      <c r="A147" s="2">
        <v>115</v>
      </c>
      <c r="B147" s="3">
        <v>46191</v>
      </c>
      <c r="C147" s="15" t="s">
        <v>47</v>
      </c>
      <c r="D147" s="2">
        <v>1</v>
      </c>
      <c r="E147" s="12">
        <f>D147 * _xlfn.XLOOKUP(C147, Inventario!G:G, Inventario!D:D, 0)</f>
        <v>12000</v>
      </c>
    </row>
    <row r="148" spans="1:5" x14ac:dyDescent="0.3">
      <c r="A148" s="2">
        <v>116</v>
      </c>
      <c r="B148" s="3">
        <v>46191</v>
      </c>
      <c r="C148" s="15" t="s">
        <v>47</v>
      </c>
      <c r="D148" s="2">
        <v>1</v>
      </c>
      <c r="E148" s="12">
        <f>D148 * _xlfn.XLOOKUP(C148, Inventario!G:G, Inventario!D:D, 0)</f>
        <v>12000</v>
      </c>
    </row>
    <row r="149" spans="1:5" x14ac:dyDescent="0.3">
      <c r="A149" s="2">
        <v>117</v>
      </c>
      <c r="B149" s="3">
        <v>46191</v>
      </c>
      <c r="C149" s="15" t="s">
        <v>46</v>
      </c>
      <c r="D149" s="2">
        <v>1</v>
      </c>
      <c r="E149" s="12">
        <f>D149 * _xlfn.XLOOKUP(C149, Inventario!G:G, Inventario!D:D, 0)</f>
        <v>5950</v>
      </c>
    </row>
    <row r="150" spans="1:5" x14ac:dyDescent="0.3">
      <c r="A150" s="2">
        <v>118</v>
      </c>
      <c r="B150" s="3">
        <v>46191</v>
      </c>
      <c r="C150" s="15" t="s">
        <v>48</v>
      </c>
      <c r="D150" s="2">
        <v>1</v>
      </c>
      <c r="E150" s="12">
        <f>D150 * _xlfn.XLOOKUP(C150, Inventario!G:G, Inventario!D:D, 0)</f>
        <v>2500</v>
      </c>
    </row>
    <row r="151" spans="1:5" x14ac:dyDescent="0.3">
      <c r="A151" s="2">
        <v>118</v>
      </c>
      <c r="B151" s="3">
        <v>46195</v>
      </c>
      <c r="C151" s="15" t="s">
        <v>46</v>
      </c>
      <c r="D151" s="2">
        <v>1</v>
      </c>
      <c r="E151" s="12">
        <f>D151 * _xlfn.XLOOKUP(C151, Inventario!G:G, Inventario!D:D, 0)</f>
        <v>5950</v>
      </c>
    </row>
    <row r="152" spans="1:5" x14ac:dyDescent="0.3">
      <c r="A152" s="2">
        <v>119</v>
      </c>
      <c r="B152" s="3">
        <v>46198</v>
      </c>
      <c r="C152" s="15" t="s">
        <v>47</v>
      </c>
      <c r="D152" s="2">
        <v>1</v>
      </c>
      <c r="E152" s="12">
        <f>D152 * _xlfn.XLOOKUP(C152, Inventario!G:G, Inventario!D:D, 0)</f>
        <v>12000</v>
      </c>
    </row>
    <row r="153" spans="1:5" x14ac:dyDescent="0.3">
      <c r="A153" s="2">
        <v>120</v>
      </c>
      <c r="B153" s="3">
        <v>46198</v>
      </c>
      <c r="C153" s="15" t="s">
        <v>40</v>
      </c>
      <c r="D153" s="2">
        <v>1</v>
      </c>
      <c r="E153" s="12">
        <f>D153 * _xlfn.XLOOKUP(C153, Inventario!G:G, Inventario!D:D, 0)</f>
        <v>24990</v>
      </c>
    </row>
    <row r="154" spans="1:5" x14ac:dyDescent="0.3">
      <c r="A154" s="2">
        <v>121</v>
      </c>
      <c r="B154" s="3">
        <v>46198</v>
      </c>
      <c r="C154" s="15" t="s">
        <v>40</v>
      </c>
      <c r="D154" s="2">
        <v>1</v>
      </c>
      <c r="E154" s="12">
        <f>D154 * _xlfn.XLOOKUP(C154, Inventario!G:G, Inventario!D:D, 0)</f>
        <v>24990</v>
      </c>
    </row>
    <row r="155" spans="1:5" x14ac:dyDescent="0.3">
      <c r="A155" s="2">
        <v>122</v>
      </c>
      <c r="B155" s="3">
        <v>46198</v>
      </c>
      <c r="C155" s="15" t="s">
        <v>48</v>
      </c>
      <c r="D155" s="2">
        <v>1</v>
      </c>
      <c r="E155" s="12">
        <f>D155 * _xlfn.XLOOKUP(C155, Inventario!G:G, Inventario!D:D, 0)</f>
        <v>2500</v>
      </c>
    </row>
    <row r="156" spans="1:5" x14ac:dyDescent="0.3">
      <c r="A156" s="2">
        <v>123</v>
      </c>
      <c r="B156" s="3">
        <v>46258</v>
      </c>
      <c r="C156" s="15" t="s">
        <v>46</v>
      </c>
      <c r="D156" s="2">
        <v>1</v>
      </c>
      <c r="E156" s="12">
        <f>D156 * _xlfn.XLOOKUP(C156, Inventario!G:G, Inventario!D:D, 0)</f>
        <v>5950</v>
      </c>
    </row>
    <row r="157" spans="1:5" x14ac:dyDescent="0.3">
      <c r="A157" s="2">
        <v>124</v>
      </c>
      <c r="B157" s="3">
        <v>46258</v>
      </c>
      <c r="C157" s="15" t="s">
        <v>44</v>
      </c>
      <c r="D157" s="2">
        <v>2</v>
      </c>
      <c r="E157" s="12">
        <f>D157 * _xlfn.XLOOKUP(C157, Inventario!G:G, Inventario!D:D, 0)</f>
        <v>11900</v>
      </c>
    </row>
    <row r="158" spans="1:5" x14ac:dyDescent="0.3">
      <c r="A158" s="2">
        <v>127</v>
      </c>
      <c r="B158" s="3">
        <v>46258</v>
      </c>
      <c r="C158" s="15" t="s">
        <v>47</v>
      </c>
      <c r="D158" s="2">
        <v>1</v>
      </c>
      <c r="E158" s="12">
        <f>D158 * _xlfn.XLOOKUP(C158, Inventario!G:G, Inventario!D:D, 0)</f>
        <v>12000</v>
      </c>
    </row>
    <row r="159" spans="1:5" x14ac:dyDescent="0.3">
      <c r="A159" s="2">
        <v>127</v>
      </c>
      <c r="B159" s="3">
        <v>46268</v>
      </c>
      <c r="C159" s="15" t="s">
        <v>47</v>
      </c>
      <c r="D159" s="2">
        <v>1</v>
      </c>
      <c r="E159" s="12">
        <f>D159 * _xlfn.XLOOKUP(C159, Inventario!G:G, Inventario!D:D, 0)</f>
        <v>12000</v>
      </c>
    </row>
    <row r="160" spans="1:5" x14ac:dyDescent="0.3">
      <c r="A160" s="2">
        <v>128</v>
      </c>
      <c r="B160" s="3">
        <v>46274</v>
      </c>
      <c r="C160" s="15" t="s">
        <v>47</v>
      </c>
      <c r="D160" s="2">
        <v>1</v>
      </c>
      <c r="E160" s="12">
        <f>D160 * _xlfn.XLOOKUP(C160, Inventario!G:G, Inventario!D:D, 0)</f>
        <v>12000</v>
      </c>
    </row>
    <row r="161" spans="1:5" x14ac:dyDescent="0.3">
      <c r="A161" s="2">
        <v>129</v>
      </c>
      <c r="B161" s="3">
        <v>46274</v>
      </c>
      <c r="C161" s="15" t="s">
        <v>47</v>
      </c>
      <c r="D161" s="2">
        <v>2</v>
      </c>
      <c r="E161" s="12">
        <f>D161 * _xlfn.XLOOKUP(C161, Inventario!G:G, Inventario!D:D, 0)</f>
        <v>24000</v>
      </c>
    </row>
    <row r="162" spans="1:5" x14ac:dyDescent="0.3">
      <c r="A162" s="2">
        <v>130</v>
      </c>
      <c r="B162" s="3">
        <v>46275</v>
      </c>
      <c r="C162" s="15" t="s">
        <v>48</v>
      </c>
      <c r="D162" s="2">
        <v>1</v>
      </c>
      <c r="E162" s="12">
        <f>D162 * _xlfn.XLOOKUP(C162, Inventario!G:G, Inventario!D:D, 0)</f>
        <v>2500</v>
      </c>
    </row>
    <row r="163" spans="1:5" x14ac:dyDescent="0.3">
      <c r="A163" s="2">
        <v>131</v>
      </c>
      <c r="B163" s="3">
        <v>46275</v>
      </c>
      <c r="C163" s="15" t="s">
        <v>43</v>
      </c>
      <c r="D163" s="2">
        <v>1</v>
      </c>
      <c r="E163" s="12">
        <f>D163 * _xlfn.XLOOKUP(C163, Inventario!G:G, Inventario!D:D, 0)</f>
        <v>16000</v>
      </c>
    </row>
    <row r="164" spans="1:5" x14ac:dyDescent="0.3">
      <c r="A164" s="2">
        <v>132</v>
      </c>
      <c r="B164" s="3">
        <v>46288</v>
      </c>
      <c r="C164" s="15" t="s">
        <v>47</v>
      </c>
      <c r="D164" s="2">
        <v>1</v>
      </c>
      <c r="E164" s="12">
        <f>D164 * _xlfn.XLOOKUP(C164, Inventario!G:G, Inventario!D:D, 0)</f>
        <v>12000</v>
      </c>
    </row>
    <row r="165" spans="1:5" x14ac:dyDescent="0.3">
      <c r="A165" s="2">
        <v>133</v>
      </c>
      <c r="B165" s="3">
        <v>46293</v>
      </c>
      <c r="C165" s="15" t="s">
        <v>46</v>
      </c>
      <c r="D165" s="2">
        <v>1</v>
      </c>
      <c r="E165" s="12">
        <f>D165 * _xlfn.XLOOKUP(C165, Inventario!G:G, Inventario!D:D, 0)</f>
        <v>5950</v>
      </c>
    </row>
    <row r="166" spans="1:5" x14ac:dyDescent="0.3">
      <c r="A166" s="2">
        <v>134</v>
      </c>
      <c r="B166" s="3">
        <v>46295</v>
      </c>
      <c r="C166" s="15" t="s">
        <v>46</v>
      </c>
      <c r="D166" s="2">
        <v>1</v>
      </c>
      <c r="E166" s="12">
        <f>D166 * _xlfn.XLOOKUP(C166, Inventario!G:G, Inventario!D:D, 0)</f>
        <v>5950</v>
      </c>
    </row>
    <row r="167" spans="1:5" x14ac:dyDescent="0.3">
      <c r="A167" s="2">
        <v>135</v>
      </c>
      <c r="B167" s="3">
        <v>46295</v>
      </c>
      <c r="C167" s="15" t="s">
        <v>35</v>
      </c>
      <c r="D167" s="2">
        <v>1</v>
      </c>
      <c r="E167" s="12">
        <f>D167 * _xlfn.XLOOKUP(C167, Inventario!G:G, Inventario!D:D, 0)</f>
        <v>24990</v>
      </c>
    </row>
    <row r="168" spans="1:5" x14ac:dyDescent="0.3">
      <c r="A168" s="2">
        <v>136</v>
      </c>
      <c r="B168" s="3">
        <v>46296</v>
      </c>
      <c r="C168" s="15" t="s">
        <v>44</v>
      </c>
      <c r="D168" s="2">
        <v>2</v>
      </c>
      <c r="E168" s="12">
        <f>D168 * _xlfn.XLOOKUP(C168, Inventario!G:G, Inventario!D:D, 0)</f>
        <v>11900</v>
      </c>
    </row>
    <row r="169" spans="1:5" x14ac:dyDescent="0.3">
      <c r="A169" s="2">
        <v>137</v>
      </c>
      <c r="B169" s="3">
        <v>46296</v>
      </c>
      <c r="C169" s="15" t="s">
        <v>46</v>
      </c>
      <c r="D169" s="2">
        <v>1</v>
      </c>
      <c r="E169" s="12">
        <f>D169 * _xlfn.XLOOKUP(C169, Inventario!G:G, Inventario!D:D, 0)</f>
        <v>5950</v>
      </c>
    </row>
    <row r="170" spans="1:5" x14ac:dyDescent="0.3">
      <c r="A170" s="2">
        <v>138</v>
      </c>
      <c r="B170" s="3">
        <v>46296</v>
      </c>
      <c r="C170" s="15" t="s">
        <v>48</v>
      </c>
      <c r="D170" s="2">
        <v>1</v>
      </c>
      <c r="E170" s="12">
        <f>D170 * _xlfn.XLOOKUP(C170, Inventario!G:G, Inventario!D:D, 0)</f>
        <v>2500</v>
      </c>
    </row>
    <row r="171" spans="1:5" x14ac:dyDescent="0.3">
      <c r="A171" s="2">
        <v>138</v>
      </c>
      <c r="B171" s="3">
        <v>46296</v>
      </c>
      <c r="C171" s="15" t="s">
        <v>47</v>
      </c>
      <c r="D171" s="2">
        <v>6</v>
      </c>
      <c r="E171" s="12">
        <f>D171 * _xlfn.XLOOKUP(C171, Inventario!G:G, Inventario!D:D, 0)</f>
        <v>72000</v>
      </c>
    </row>
    <row r="172" spans="1:5" x14ac:dyDescent="0.3">
      <c r="A172" s="2">
        <v>138</v>
      </c>
      <c r="B172" s="3">
        <v>46296</v>
      </c>
      <c r="C172" s="15" t="s">
        <v>47</v>
      </c>
      <c r="D172" s="2">
        <v>1</v>
      </c>
      <c r="E172" s="12">
        <f>D172 * _xlfn.XLOOKUP(C172, Inventario!G:G, Inventario!D:D, 0)</f>
        <v>12000</v>
      </c>
    </row>
    <row r="173" spans="1:5" x14ac:dyDescent="0.3">
      <c r="D173" s="7"/>
    </row>
    <row r="174" spans="1:5" x14ac:dyDescent="0.3">
      <c r="D174" s="7"/>
    </row>
  </sheetData>
  <mergeCells count="21">
    <mergeCell ref="B15:B16"/>
    <mergeCell ref="A19:A20"/>
    <mergeCell ref="B19:B20"/>
    <mergeCell ref="A23:A24"/>
    <mergeCell ref="B23:B24"/>
    <mergeCell ref="A53:A54"/>
    <mergeCell ref="B53:B54"/>
    <mergeCell ref="A1:E1"/>
    <mergeCell ref="A47:A49"/>
    <mergeCell ref="B47:B49"/>
    <mergeCell ref="A51:A52"/>
    <mergeCell ref="B51:B52"/>
    <mergeCell ref="A37:A39"/>
    <mergeCell ref="B37:B39"/>
    <mergeCell ref="A44:A46"/>
    <mergeCell ref="B44:B46"/>
    <mergeCell ref="A27:A28"/>
    <mergeCell ref="A30:A31"/>
    <mergeCell ref="A34:A35"/>
    <mergeCell ref="B34:B35"/>
    <mergeCell ref="A15:A16"/>
  </mergeCells>
  <conditionalFormatting sqref="A3:B15 A17:B19 A21:B23 A25:B27 B28:B34 A29:A30 A33:A34 B36 A37:B37 A40:B44 A47:B47 A50:B51 A53:B53 A55:B60 A61:A172">
    <cfRule type="expression" dxfId="8" priority="8">
      <formula>$F3="TAC"</formula>
    </cfRule>
  </conditionalFormatting>
  <conditionalFormatting sqref="B61:B170">
    <cfRule type="expression" dxfId="7" priority="21">
      <formula>$F63="TAC"</formula>
    </cfRule>
  </conditionalFormatting>
  <conditionalFormatting sqref="B171:B172">
    <cfRule type="expression" dxfId="6" priority="24">
      <formula>$C173="TAC"</formula>
    </cfRule>
  </conditionalFormatting>
  <conditionalFormatting sqref="C3:C7">
    <cfRule type="expression" dxfId="5" priority="3">
      <formula>AND(C3&lt;&gt;"",COUNTIF($P$3:$P$61,C3)&gt;1)</formula>
    </cfRule>
  </conditionalFormatting>
  <conditionalFormatting sqref="D3:D174">
    <cfRule type="expression" dxfId="4" priority="1">
      <formula>$F3="TAC"</formula>
    </cfRule>
  </conditionalFormatting>
  <dataValidations count="1">
    <dataValidation type="custom" allowBlank="1" showErrorMessage="1" errorTitle="SKU repetido" error="Ese SKU ya existe en el inventario. Cada SKU debe ser unico." sqref="C3:C7" xr:uid="{40593097-CB7C-4BEE-A520-351B4D702D4B}">
      <formula1>OR(C3="",COUNTIF($P$3:$P$61,C3)=1)</formula1>
      <formula2>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25B89-E925-4BB2-A4A6-D17E36E6B3A8}">
  <sheetPr>
    <tabColor rgb="FF7030A0"/>
  </sheetPr>
  <dimension ref="A1:H18"/>
  <sheetViews>
    <sheetView workbookViewId="0">
      <selection activeCell="H24" sqref="H24"/>
    </sheetView>
  </sheetViews>
  <sheetFormatPr baseColWidth="10" defaultRowHeight="14.4" x14ac:dyDescent="0.3"/>
  <cols>
    <col min="1" max="1" width="6.77734375" bestFit="1" customWidth="1"/>
    <col min="2" max="2" width="9.5546875" bestFit="1" customWidth="1"/>
    <col min="3" max="3" width="19.77734375" bestFit="1" customWidth="1"/>
    <col min="4" max="4" width="9.88671875" bestFit="1" customWidth="1"/>
    <col min="5" max="5" width="8.21875" bestFit="1" customWidth="1"/>
    <col min="6" max="6" width="18.44140625" bestFit="1" customWidth="1"/>
    <col min="7" max="7" width="16.5546875" bestFit="1" customWidth="1"/>
    <col min="8" max="8" width="19.33203125" bestFit="1" customWidth="1"/>
  </cols>
  <sheetData>
    <row r="1" spans="1:8" x14ac:dyDescent="0.3">
      <c r="A1" s="26" t="s">
        <v>69</v>
      </c>
      <c r="B1" s="26"/>
      <c r="C1" s="26"/>
      <c r="D1" s="26"/>
      <c r="E1" s="26"/>
      <c r="F1" s="26"/>
      <c r="G1" s="26"/>
      <c r="H1" s="26"/>
    </row>
    <row r="2" spans="1:8" x14ac:dyDescent="0.3">
      <c r="A2" s="11" t="s">
        <v>68</v>
      </c>
      <c r="B2" s="11" t="s">
        <v>62</v>
      </c>
      <c r="C2" s="11" t="s">
        <v>28</v>
      </c>
      <c r="D2" s="11" t="s">
        <v>63</v>
      </c>
      <c r="E2" s="11" t="s">
        <v>64</v>
      </c>
      <c r="F2" s="11" t="s">
        <v>70</v>
      </c>
      <c r="G2" s="11" t="s">
        <v>71</v>
      </c>
      <c r="H2" s="11" t="s">
        <v>72</v>
      </c>
    </row>
    <row r="3" spans="1:8" x14ac:dyDescent="0.3">
      <c r="A3" s="8">
        <v>1</v>
      </c>
      <c r="B3" s="9">
        <v>46031</v>
      </c>
      <c r="C3" s="13" t="s">
        <v>46</v>
      </c>
      <c r="D3" s="4">
        <v>15</v>
      </c>
      <c r="E3" s="12">
        <f>D3 * VLOOKUP(C3, CHOOSE({1,2}, Inventario!G:G, Inventario!E:E), 2, FALSE)</f>
        <v>75000</v>
      </c>
      <c r="F3" s="8" t="s">
        <v>73</v>
      </c>
      <c r="G3" s="8" t="s">
        <v>73</v>
      </c>
      <c r="H3" s="12" t="s">
        <v>75</v>
      </c>
    </row>
    <row r="4" spans="1:8" x14ac:dyDescent="0.3">
      <c r="A4" s="2">
        <v>2</v>
      </c>
      <c r="B4" s="3">
        <v>46034</v>
      </c>
      <c r="C4" s="13" t="s">
        <v>46</v>
      </c>
      <c r="D4" s="2">
        <v>10</v>
      </c>
      <c r="E4" s="12">
        <f>D4 * VLOOKUP(C4, CHOOSE({1,2}, Inventario!G:G, Inventario!E:E), 2, FALSE)</f>
        <v>50000</v>
      </c>
      <c r="F4" s="2" t="s">
        <v>73</v>
      </c>
      <c r="G4" s="2" t="s">
        <v>73</v>
      </c>
      <c r="H4" s="12" t="s">
        <v>76</v>
      </c>
    </row>
    <row r="5" spans="1:8" x14ac:dyDescent="0.3">
      <c r="A5" s="4">
        <v>3</v>
      </c>
      <c r="B5" s="5">
        <v>46100</v>
      </c>
      <c r="C5" s="13" t="s">
        <v>44</v>
      </c>
      <c r="D5" s="4">
        <v>3</v>
      </c>
      <c r="E5" s="12">
        <f>D5 * VLOOKUP(C5, CHOOSE({1,2}, Inventario!G:G, Inventario!E:E), 2, FALSE)</f>
        <v>15000</v>
      </c>
      <c r="F5" s="4" t="s">
        <v>73</v>
      </c>
      <c r="G5" s="4" t="s">
        <v>73</v>
      </c>
      <c r="H5" s="12" t="s">
        <v>77</v>
      </c>
    </row>
    <row r="6" spans="1:8" x14ac:dyDescent="0.3">
      <c r="A6" s="2">
        <v>3</v>
      </c>
      <c r="B6" s="3">
        <v>46100</v>
      </c>
      <c r="C6" s="13" t="s">
        <v>43</v>
      </c>
      <c r="D6" s="2">
        <v>3</v>
      </c>
      <c r="E6" s="12">
        <f>D6 * VLOOKUP(C6, CHOOSE({1,2}, Inventario!G:G, Inventario!E:E), 2, FALSE)</f>
        <v>45000</v>
      </c>
      <c r="F6" s="2" t="s">
        <v>73</v>
      </c>
      <c r="G6" s="2" t="s">
        <v>73</v>
      </c>
      <c r="H6" s="12" t="s">
        <v>77</v>
      </c>
    </row>
    <row r="7" spans="1:8" x14ac:dyDescent="0.3">
      <c r="A7" s="2">
        <v>4</v>
      </c>
      <c r="B7" s="3">
        <v>46100</v>
      </c>
      <c r="C7" s="13" t="s">
        <v>47</v>
      </c>
      <c r="D7" s="2">
        <v>19</v>
      </c>
      <c r="E7" s="12">
        <f>D7 * VLOOKUP(C7, CHOOSE({1,2}, Inventario!G:G, Inventario!E:E), 2, FALSE)</f>
        <v>191615</v>
      </c>
      <c r="F7" s="4" t="s">
        <v>74</v>
      </c>
      <c r="G7" s="4" t="s">
        <v>74</v>
      </c>
      <c r="H7" s="12" t="s">
        <v>78</v>
      </c>
    </row>
    <row r="8" spans="1:8" x14ac:dyDescent="0.3">
      <c r="A8" s="4">
        <v>5</v>
      </c>
      <c r="B8" s="5">
        <v>46154</v>
      </c>
      <c r="C8" s="13" t="s">
        <v>47</v>
      </c>
      <c r="D8" s="4">
        <v>2</v>
      </c>
      <c r="E8" s="12">
        <f>D8 * VLOOKUP(C8, CHOOSE({1,2}, Inventario!G:G, Inventario!E:E), 2, FALSE)</f>
        <v>20170</v>
      </c>
      <c r="F8" s="4" t="s">
        <v>73</v>
      </c>
      <c r="G8" s="4" t="s">
        <v>73</v>
      </c>
      <c r="H8" s="12" t="s">
        <v>79</v>
      </c>
    </row>
    <row r="9" spans="1:8" x14ac:dyDescent="0.3">
      <c r="A9" s="2">
        <v>7</v>
      </c>
      <c r="B9" s="3">
        <v>46171</v>
      </c>
      <c r="C9" s="13" t="s">
        <v>43</v>
      </c>
      <c r="D9" s="2">
        <v>1</v>
      </c>
      <c r="E9" s="12">
        <f>D9 * VLOOKUP(C9, CHOOSE({1,2}, Inventario!G:G, Inventario!E:E), 2, FALSE)</f>
        <v>15000</v>
      </c>
      <c r="F9" s="2" t="s">
        <v>73</v>
      </c>
      <c r="G9" s="2" t="s">
        <v>73</v>
      </c>
      <c r="H9" s="12" t="s">
        <v>80</v>
      </c>
    </row>
    <row r="10" spans="1:8" x14ac:dyDescent="0.3">
      <c r="A10" s="4">
        <v>8</v>
      </c>
      <c r="B10" s="5">
        <v>46195</v>
      </c>
      <c r="C10" s="13" t="s">
        <v>47</v>
      </c>
      <c r="D10" s="4">
        <v>1</v>
      </c>
      <c r="E10" s="12">
        <f>D10 * VLOOKUP(C10, CHOOSE({1,2}, Inventario!G:G, Inventario!E:E), 2, FALSE)</f>
        <v>10085</v>
      </c>
      <c r="F10" s="4" t="s">
        <v>73</v>
      </c>
      <c r="G10" s="4" t="s">
        <v>73</v>
      </c>
      <c r="H10" s="12" t="s">
        <v>81</v>
      </c>
    </row>
    <row r="11" spans="1:8" x14ac:dyDescent="0.3">
      <c r="A11" s="2">
        <v>9</v>
      </c>
      <c r="B11" s="3">
        <v>46195</v>
      </c>
      <c r="C11" s="13" t="s">
        <v>47</v>
      </c>
      <c r="D11" s="2">
        <v>1</v>
      </c>
      <c r="E11" s="12">
        <f>D11 * VLOOKUP(C11, CHOOSE({1,2}, Inventario!G:G, Inventario!E:E), 2, FALSE)</f>
        <v>10085</v>
      </c>
      <c r="F11" s="2" t="s">
        <v>73</v>
      </c>
      <c r="G11" s="2" t="s">
        <v>73</v>
      </c>
      <c r="H11" s="12" t="s">
        <v>79</v>
      </c>
    </row>
    <row r="12" spans="1:8" x14ac:dyDescent="0.3">
      <c r="A12" s="4">
        <v>10</v>
      </c>
      <c r="B12" s="5">
        <v>46254</v>
      </c>
      <c r="C12" s="13" t="s">
        <v>43</v>
      </c>
      <c r="D12" s="4">
        <v>2</v>
      </c>
      <c r="E12" s="12">
        <f>D12 * VLOOKUP(C12, CHOOSE({1,2}, Inventario!G:G, Inventario!E:E), 2, FALSE)</f>
        <v>30000</v>
      </c>
      <c r="F12" s="4" t="s">
        <v>74</v>
      </c>
      <c r="G12" s="4" t="s">
        <v>74</v>
      </c>
      <c r="H12" s="12" t="s">
        <v>82</v>
      </c>
    </row>
    <row r="13" spans="1:8" x14ac:dyDescent="0.3">
      <c r="A13" s="2">
        <v>11</v>
      </c>
      <c r="B13" s="3">
        <v>46254</v>
      </c>
      <c r="C13" s="13" t="s">
        <v>45</v>
      </c>
      <c r="D13" s="2">
        <v>6</v>
      </c>
      <c r="E13" s="12">
        <f>D13 * VLOOKUP(C13, CHOOSE({1,2}, Inventario!G:G, Inventario!E:E), 2, FALSE)</f>
        <v>36000</v>
      </c>
      <c r="F13" s="4" t="s">
        <v>74</v>
      </c>
      <c r="G13" s="4" t="s">
        <v>74</v>
      </c>
      <c r="H13" s="12" t="s">
        <v>82</v>
      </c>
    </row>
    <row r="14" spans="1:8" x14ac:dyDescent="0.3">
      <c r="A14" s="4">
        <v>12</v>
      </c>
      <c r="B14" s="5">
        <v>46269</v>
      </c>
      <c r="C14" s="13" t="s">
        <v>47</v>
      </c>
      <c r="D14" s="4">
        <v>1</v>
      </c>
      <c r="E14" s="12">
        <f>D14 * VLOOKUP(C14, CHOOSE({1,2}, Inventario!G:G, Inventario!E:E), 2, FALSE)</f>
        <v>10085</v>
      </c>
      <c r="F14" s="4" t="s">
        <v>74</v>
      </c>
      <c r="G14" s="4" t="s">
        <v>74</v>
      </c>
      <c r="H14" s="12" t="s">
        <v>76</v>
      </c>
    </row>
    <row r="15" spans="1:8" x14ac:dyDescent="0.3">
      <c r="A15" s="2">
        <v>13</v>
      </c>
      <c r="B15" s="3">
        <v>46269</v>
      </c>
      <c r="C15" s="13" t="s">
        <v>47</v>
      </c>
      <c r="D15" s="2">
        <v>7</v>
      </c>
      <c r="E15" s="12">
        <f>D15 * VLOOKUP(C15, CHOOSE({1,2}, Inventario!G:G, Inventario!E:E), 2, FALSE)</f>
        <v>70595</v>
      </c>
      <c r="F15" s="2" t="s">
        <v>73</v>
      </c>
      <c r="G15" s="2" t="s">
        <v>73</v>
      </c>
      <c r="H15" s="12" t="s">
        <v>75</v>
      </c>
    </row>
    <row r="16" spans="1:8" x14ac:dyDescent="0.3">
      <c r="A16" s="4">
        <v>14</v>
      </c>
      <c r="B16" s="5">
        <v>46302</v>
      </c>
      <c r="C16" s="13" t="s">
        <v>43</v>
      </c>
      <c r="D16" s="4">
        <v>5</v>
      </c>
      <c r="E16" s="12">
        <f>D16 * VLOOKUP(C16, CHOOSE({1,2}, Inventario!G:G, Inventario!E:E), 2, FALSE)</f>
        <v>75000</v>
      </c>
      <c r="F16" s="4" t="s">
        <v>74</v>
      </c>
      <c r="G16" s="4" t="s">
        <v>74</v>
      </c>
      <c r="H16" s="12" t="s">
        <v>83</v>
      </c>
    </row>
    <row r="17" spans="1:8" x14ac:dyDescent="0.3">
      <c r="A17" s="2">
        <v>14</v>
      </c>
      <c r="B17" s="3">
        <v>46302</v>
      </c>
      <c r="C17" s="13" t="s">
        <v>46</v>
      </c>
      <c r="D17" s="2">
        <v>5</v>
      </c>
      <c r="E17" s="12">
        <f>D17 * VLOOKUP(C17, CHOOSE({1,2}, Inventario!G:G, Inventario!E:E), 2, FALSE)</f>
        <v>25000</v>
      </c>
      <c r="F17" s="4" t="s">
        <v>74</v>
      </c>
      <c r="G17" s="4" t="s">
        <v>74</v>
      </c>
      <c r="H17" s="12" t="s">
        <v>83</v>
      </c>
    </row>
    <row r="18" spans="1:8" x14ac:dyDescent="0.3">
      <c r="A18" s="4">
        <v>15</v>
      </c>
      <c r="B18" s="5">
        <v>46302</v>
      </c>
      <c r="C18" s="13" t="s">
        <v>46</v>
      </c>
      <c r="D18" s="4">
        <v>3</v>
      </c>
      <c r="E18" s="12">
        <f>D18 * VLOOKUP(C18, CHOOSE({1,2}, Inventario!G:G, Inventario!E:E), 2, FALSE)</f>
        <v>15000</v>
      </c>
      <c r="F18" s="4" t="s">
        <v>74</v>
      </c>
      <c r="G18" s="4" t="s">
        <v>74</v>
      </c>
      <c r="H18" s="12" t="s">
        <v>84</v>
      </c>
    </row>
  </sheetData>
  <mergeCells count="1">
    <mergeCell ref="A1:H1"/>
  </mergeCells>
  <conditionalFormatting sqref="C3:C18">
    <cfRule type="expression" dxfId="3" priority="1">
      <formula>AND(C3&lt;&gt;"",COUNTIF($P$3:$P$61,C3)&gt;1)</formula>
    </cfRule>
  </conditionalFormatting>
  <conditionalFormatting sqref="F3:G18">
    <cfRule type="cellIs" dxfId="2" priority="17" operator="equal">
      <formula>"Firmado"</formula>
    </cfRule>
    <cfRule type="cellIs" dxfId="1" priority="18" operator="equal">
      <formula>"Pendiente"</formula>
    </cfRule>
    <cfRule type="cellIs" dxfId="0" priority="19" operator="equal">
      <formula>"Rechazado"</formula>
    </cfRule>
  </conditionalFormatting>
  <dataValidations count="3">
    <dataValidation type="list" allowBlank="1" sqref="G15 G3:G6 G8:G11" xr:uid="{F3B0F182-C30C-4B24-BA4D-DF889F3A9057}">
      <formula1>"Firmado,Pendiente,Rechazado"</formula1>
      <formula2>0</formula2>
    </dataValidation>
    <dataValidation type="list" allowBlank="1" prompt="Estado de la firma" sqref="G12:G14 G16:G18 F3:F18 G7" xr:uid="{210BE855-C9CF-429D-8FB5-F2875676360E}">
      <formula1>"Firmado,Pendiente,Rechazado"</formula1>
      <formula2>0</formula2>
    </dataValidation>
    <dataValidation type="custom" allowBlank="1" showErrorMessage="1" errorTitle="SKU repetido" error="Ese SKU ya existe en el inventario. Cada SKU debe ser unico." sqref="C3:C18" xr:uid="{BDF373E7-1690-475F-8BE2-788525A58FCE}">
      <formula1>OR(C3="",COUNTIF($P$3:$P$61,C3)=1)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Inventario</vt:lpstr>
      <vt:lpstr>Registro de ventas</vt:lpstr>
      <vt:lpstr>CONTROL TAC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Lobos</dc:creator>
  <cp:lastModifiedBy>Nicolas Lobos</cp:lastModifiedBy>
  <dcterms:created xsi:type="dcterms:W3CDTF">2015-06-05T18:19:34Z</dcterms:created>
  <dcterms:modified xsi:type="dcterms:W3CDTF">2026-10-21T00:38:55Z</dcterms:modified>
</cp:coreProperties>
</file>